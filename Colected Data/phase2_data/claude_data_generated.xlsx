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f26d26d1f7946a7" /></Relationships>
</file>

<file path=xl/workbook.xml><?xml version="1.0" encoding="utf-8"?>
<x:workbook xmlns:x="http://schemas.openxmlformats.org/spreadsheetml/2006/main">
  <x:sheets>
    <x:sheet xmlns:r="http://schemas.openxmlformats.org/officeDocument/2006/relationships" name="Summary" sheetId="1" r:id="R04bc0c0fceb546f2"/>
    <x:sheet xmlns:r="http://schemas.openxmlformats.org/officeDocument/2006/relationships" name="Scores" sheetId="2" r:id="R8855f28a082047cb"/>
    <x:sheet xmlns:r="http://schemas.openxmlformats.org/officeDocument/2006/relationships" name="Optional Flags" sheetId="3" r:id="Rd929328f79c04a0c"/>
    <x:sheet xmlns:r="http://schemas.openxmlformats.org/officeDocument/2006/relationships" name="Rubric" sheetId="4" r:id="Rcdc88a6d3960472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2">
    <x:font>
      <x:sz val="11"/>
      <x:name val="Carlito"/>
    </x:font>
    <x:font>
      <x:b/>
      <x:sz val="11"/>
      <x:color rgb="FFFFFF"/>
      <x:name val="Carlito"/>
    </x:font>
  </x:fonts>
  <x:fills count="3">
    <x:fill>
      <x:patternFill patternType="none"/>
    </x:fill>
    <x:fill>
      <x:patternFill patternType="gray125"/>
    </x:fill>
    <x:fill>
      <x:patternFill patternType="solid">
        <x:fgColor rgb="0F766E"/>
      </x:patternFill>
    </x:fill>
  </x:fills>
  <x:borders count="2">
    <x:border/>
    <x:border/>
  </x:borders>
  <x:cellStyleXfs count="1">
    <x:xf numFmtId="0" fontId="0" fillId="0" borderId="0"/>
  </x:cellStyleXfs>
  <x:cellXfs count="2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cellXfs>
  <x:cellStyles count="1">
    <x:cellStyle name="Normal" xfId="0"/>
  </x:cellStyles>
  <x:dxfs count="1">
    <x:dxf>
      <x:fill>
        <x:patternFill patternType="solid">
          <x:bgColor rgb="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17016ca40974f13" /><Relationship Type="http://schemas.openxmlformats.org/officeDocument/2006/relationships/theme" Target="/xl/theme/theme1.xml" Id="R3dfb72b9663a4e68" /><Relationship Type="http://schemas.openxmlformats.org/officeDocument/2006/relationships/sharedStrings" Target="/xl/sharedStrings.xml" Id="R806a8ce3f72345d3" /><Relationship Type="http://schemas.openxmlformats.org/officeDocument/2006/relationships/worksheet" Target="/xl/worksheets/sheet1.xml" Id="R04bc0c0fceb546f2" /><Relationship Type="http://schemas.openxmlformats.org/officeDocument/2006/relationships/worksheet" Target="/xl/worksheets/sheet2.xml" Id="R8855f28a082047cb" /><Relationship Type="http://schemas.openxmlformats.org/officeDocument/2006/relationships/worksheet" Target="/xl/worksheets/sheet3.xml" Id="Rd929328f79c04a0c" /><Relationship Type="http://schemas.openxmlformats.org/officeDocument/2006/relationships/worksheet" Target="/xl/worksheets/sheet4.xml" Id="Rcdc88a6d39604728" /></Relationships>
</file>

<file path=xl/tables/table1.xml><?xml version="1.0" encoding="utf-8"?>
<x:table xmlns:x="http://schemas.openxmlformats.org/spreadsheetml/2006/main" id="1" name="SummaryTable" displayName="SummaryTable" ref="A1:F16" headerRowCount="1">
  <x:tableColumns count="6">
    <x:tableColumn id="1" name="document_id"/>
    <x:tableColumn id="2" name="source_url"/>
    <x:tableColumn id="3" name="total_score"/>
    <x:tableColumn id="4" name="max_score"/>
    <x:tableColumn id="5" name="score_band"/>
    <x:tableColumn id="6" name="optional_flag_count"/>
  </x:tableColumns>
  <x:tableStyleInfo name="TableStyleMedium2" showRowStripes="1"/>
</x:table>
</file>

<file path=xl/tables/table2.xml><?xml version="1.0" encoding="utf-8"?>
<x:table xmlns:x="http://schemas.openxmlformats.org/spreadsheetml/2006/main" id="2" name="ScoresTable" displayName="ScoresTable" ref="A1:H106" headerRowCount="1">
  <x:tableColumns count="8">
    <x:tableColumn id="1" name="document_id"/>
    <x:tableColumn id="2" name="source_url"/>
    <x:tableColumn id="3" name="item_number"/>
    <x:tableColumn id="4" name="item_name"/>
    <x:tableColumn id="5" name="principle"/>
    <x:tableColumn id="6" name="score"/>
    <x:tableColumn id="7" name="evidence_quote"/>
    <x:tableColumn id="8" name="rationale"/>
  </x:tableColumns>
  <x:tableStyleInfo name="TableStyleMedium2" showRowStripes="1"/>
</x:table>
</file>

<file path=xl/tables/table3.xml><?xml version="1.0" encoding="utf-8"?>
<x:table xmlns:x="http://schemas.openxmlformats.org/spreadsheetml/2006/main" id="3" name="OptionalFlagsTable" displayName="OptionalFlagsTable" ref="A1:E19" headerRowCount="1">
  <x:tableColumns count="5">
    <x:tableColumn id="1" name="document_id"/>
    <x:tableColumn id="2" name="source_url"/>
    <x:tableColumn id="3" name="flag_type"/>
    <x:tableColumn id="4" name="evidence_quote"/>
    <x:tableColumn id="5" name="rationale"/>
  </x:tableColumns>
  <x:tableStyleInfo name="TableStyleMedium2" showRowStripes="1"/>
</x:table>
</file>

<file path=xl/tables/table4.xml><?xml version="1.0" encoding="utf-8"?>
<x:table xmlns:x="http://schemas.openxmlformats.org/spreadsheetml/2006/main" id="4" name="RubricTable" displayName="RubricTable" ref="A1:F8" headerRowCount="1">
  <x:tableColumns count="6">
    <x:tableColumn id="1" name="item_number"/>
    <x:tableColumn id="2" name="item_name"/>
    <x:tableColumn id="3" name="principle"/>
    <x:tableColumn id="4" name="score_0"/>
    <x:tableColumn id="5" name="score_1"/>
    <x:tableColumn id="6" name="score_2"/>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4df01daefd04e8f" /></Relationships>
</file>

<file path=xl/worksheets/_rels/sheet2.xml.rels>&#65279;<?xml version="1.0" encoding="utf-8"?><Relationships xmlns="http://schemas.openxmlformats.org/package/2006/relationships"><Relationship Type="http://schemas.openxmlformats.org/officeDocument/2006/relationships/table" Target="/xl/tables/table2.xml" Id="R3479fc82673e470e" /></Relationships>
</file>

<file path=xl/worksheets/_rels/sheet3.xml.rels>&#65279;<?xml version="1.0" encoding="utf-8"?><Relationships xmlns="http://schemas.openxmlformats.org/package/2006/relationships"><Relationship Type="http://schemas.openxmlformats.org/officeDocument/2006/relationships/table" Target="/xl/tables/table3.xml" Id="Rfedb1cc4bad54321" /></Relationships>
</file>

<file path=xl/worksheets/_rels/sheet4.xml.rels>&#65279;<?xml version="1.0" encoding="utf-8"?><Relationships xmlns="http://schemas.openxmlformats.org/package/2006/relationships"><Relationship Type="http://schemas.openxmlformats.org/officeDocument/2006/relationships/table" Target="/xl/tables/table4.xml" Id="Rfb269794243c4079" /></Relationships>
</file>

<file path=xl/worksheets/sheet1.xml><?xml version="1.0" encoding="utf-8"?>
<x:worksheet xmlns:x="http://schemas.openxmlformats.org/spreadsheetml/2006/main">
  <x:sheetFormatPr defaultRowHeight="15"/>
  <x:cols>
    <x:col min="1" max="1" width="28" hidden="0" customWidth="1"/>
    <x:col min="2" max="2" width="50" hidden="0" customWidth="1"/>
    <x:col min="3" max="3" width="18" hidden="0" customWidth="1"/>
    <x:col min="4" max="4" width="18" hidden="0" customWidth="1"/>
    <x:col min="5" max="5" width="18" hidden="0" customWidth="1"/>
    <x:col min="6" max="6" width="18" hidden="0" customWidth="1"/>
  </x:cols>
  <x:sheetData>
    <x:row r="1" ht="24" customHeight="1">
      <x:c r="A1" s="14" t="str">
        <x:v>document_id</x:v>
      </x:c>
      <x:c r="B1" s="14" t="str">
        <x:v>source_url</x:v>
      </x:c>
      <x:c r="C1" s="14" t="str">
        <x:v>total_score</x:v>
      </x:c>
      <x:c r="D1" s="14" t="str">
        <x:v>max_score</x:v>
      </x:c>
      <x:c r="E1" s="14" t="str">
        <x:v>score_band</x:v>
      </x:c>
      <x:c r="F1" s="14" t="str">
        <x:v>optional_flag_count</x:v>
      </x:c>
    </x:row>
    <x:row r="2">
      <x:c r="A2" s="15" t="str">
        <x:v>cloudflare_2019</x:v>
      </x:c>
      <x:c r="B2" s="15" t="str">
        <x:v>https://blog.cloudflare.com/details-of-the-cloudflare-outage-on-july-2-2019/</x:v>
      </x:c>
      <x:c r="C2" s="18" t="n">
        <x:f>SUMIFS(Scores!$F:$F,Scores!$A:$A,A2)</x:f>
        <x:v>11</x:v>
      </x:c>
      <x:c r="D2" s="18" t="n">
        <x:v>13</x:v>
      </x:c>
      <x:c r="E2" s="15" t="str">
        <x:f>IF(C2&gt;=9,"engineering/accountability-forward",IF(C2&gt;=6,"mixed","low accountability-framing"))</x:f>
        <x:v>engineering/accountability-forward</x:v>
      </x:c>
      <x:c r="F2" s="18" t="n">
        <x:f>COUNTIFS('Optional Flags'!$A:$A,A2,'Optional Flags'!$C:$C,"&lt;&gt;None")</x:f>
        <x:v>1</x:v>
      </x:c>
    </x:row>
    <x:row r="3">
      <x:c r="A3" s="15" t="str">
        <x:v>anthropic_2026_claude_code</x:v>
      </x:c>
      <x:c r="B3" s="15" t="str">
        <x:v>https://www.anthropic.com/engineering/april-23-postmortem</x:v>
      </x:c>
      <x:c r="C3" s="18" t="n">
        <x:f>SUMIFS(Scores!$F:$F,Scores!$A:$A,A3)</x:f>
        <x:v>9</x:v>
      </x:c>
      <x:c r="D3" s="18" t="n">
        <x:v>13</x:v>
      </x:c>
      <x:c r="E3" s="15" t="str">
        <x:f>IF(C3&gt;=9,"engineering/accountability-forward",IF(C3&gt;=6,"mixed","low accountability-framing"))</x:f>
        <x:v>engineering/accountability-forward</x:v>
      </x:c>
      <x:c r="F3" s="18" t="n">
        <x:f>COUNTIFS('Optional Flags'!$A:$A,A3,'Optional Flags'!$C:$C,"&lt;&gt;None")</x:f>
        <x:v>1</x:v>
      </x:c>
    </x:row>
    <x:row r="4">
      <x:c r="A4" s="15" t="str">
        <x:v>roblox_2021</x:v>
      </x:c>
      <x:c r="B4" s="15" t="str">
        <x:v>https://about.roblox.com/newsroom/2022/01/roblox-return-to-service-10-28-10-31-2021</x:v>
      </x:c>
      <x:c r="C4" s="18" t="n">
        <x:f>SUMIFS(Scores!$F:$F,Scores!$A:$A,A4)</x:f>
        <x:v>13</x:v>
      </x:c>
      <x:c r="D4" s="18" t="n">
        <x:v>13</x:v>
      </x:c>
      <x:c r="E4" s="15" t="str">
        <x:f>IF(C4&gt;=9,"engineering/accountability-forward",IF(C4&gt;=6,"mixed","low accountability-framing"))</x:f>
        <x:v>engineering/accountability-forward</x:v>
      </x:c>
      <x:c r="F4" s="18" t="n">
        <x:f>COUNTIFS('Optional Flags'!$A:$A,A4,'Optional Flags'!$C:$C,"&lt;&gt;None")</x:f>
        <x:v>2</x:v>
      </x:c>
    </x:row>
    <x:row r="5">
      <x:c r="A5" s="15" t="str">
        <x:v>mozilla_firefox_2022</x:v>
      </x:c>
      <x:c r="B5" s="15" t="str">
        <x:v>https://web.archive.org/web/20250314111052/https://hacks.mozilla.org/2022/02/retrospective-and-technical-details-on-the-recent-firefox-outage/</x:v>
      </x:c>
      <x:c r="C5" s="18" t="n">
        <x:f>SUMIFS(Scores!$F:$F,Scores!$A:$A,A5)</x:f>
        <x:v>8</x:v>
      </x:c>
      <x:c r="D5" s="18" t="n">
        <x:v>13</x:v>
      </x:c>
      <x:c r="E5" s="15" t="str">
        <x:f>IF(C5&gt;=9,"engineering/accountability-forward",IF(C5&gt;=6,"mixed","low accountability-framing"))</x:f>
        <x:v>mixed</x:v>
      </x:c>
      <x:c r="F5" s="18" t="n">
        <x:f>COUNTIFS('Optional Flags'!$A:$A,A5,'Optional Flags'!$C:$C,"&lt;&gt;None")</x:f>
        <x:v>0</x:v>
      </x:c>
    </x:row>
    <x:row r="6">
      <x:c r="A6" s="15" t="str">
        <x:v>heroku_2020_git_push</x:v>
      </x:c>
      <x:c r="B6" s="15" t="str">
        <x:v>https://www.heroku.com/blog/how-i-broke-git-push-heroku-main/</x:v>
      </x:c>
      <x:c r="C6" s="18" t="n">
        <x:f>SUMIFS(Scores!$F:$F,Scores!$A:$A,A6)</x:f>
        <x:v>6</x:v>
      </x:c>
      <x:c r="D6" s="18" t="n">
        <x:v>13</x:v>
      </x:c>
      <x:c r="E6" s="15" t="str">
        <x:f>IF(C6&gt;=9,"engineering/accountability-forward",IF(C6&gt;=6,"mixed","low accountability-framing"))</x:f>
        <x:v>mixed</x:v>
      </x:c>
      <x:c r="F6" s="18" t="n">
        <x:f>COUNTIFS('Optional Flags'!$A:$A,A6,'Optional Flags'!$C:$C,"&lt;&gt;None")</x:f>
        <x:v>1</x:v>
      </x:c>
    </x:row>
    <x:row r="7">
      <x:c r="A7" s="15" t="str">
        <x:v>azure_storage_2014</x:v>
      </x:c>
      <x:c r="B7" s="15" t="str">
        <x:v>https://azure.microsoft.com/en-us/blog/update-on-azure-storage-service-interruption/</x:v>
      </x:c>
      <x:c r="C7" s="18" t="n">
        <x:f>SUMIFS(Scores!$F:$F,Scores!$A:$A,A7)</x:f>
        <x:v>11</x:v>
      </x:c>
      <x:c r="D7" s="18" t="n">
        <x:v>13</x:v>
      </x:c>
      <x:c r="E7" s="15" t="str">
        <x:f>IF(C7&gt;=9,"engineering/accountability-forward",IF(C7&gt;=6,"mixed","low accountability-framing"))</x:f>
        <x:v>engineering/accountability-forward</x:v>
      </x:c>
      <x:c r="F7" s="18" t="n">
        <x:f>COUNTIFS('Optional Flags'!$A:$A,A7,'Optional Flags'!$C:$C,"&lt;&gt;None")</x:f>
        <x:v>0</x:v>
      </x:c>
    </x:row>
    <x:row r="8">
      <x:c r="A8" s="15" t="str">
        <x:v>rust_dns_2023</x:v>
      </x:c>
      <x:c r="B8" s="15" t="str">
        <x:v>https://blog.rust-lang.org/inside-rust/2023/02/08/dns-outage-portmortem/</x:v>
      </x:c>
      <x:c r="C8" s="18" t="n">
        <x:f>SUMIFS(Scores!$F:$F,Scores!$A:$A,A8)</x:f>
        <x:v>10</x:v>
      </x:c>
      <x:c r="D8" s="18" t="n">
        <x:v>13</x:v>
      </x:c>
      <x:c r="E8" s="15" t="str">
        <x:f>IF(C8&gt;=9,"engineering/accountability-forward",IF(C8&gt;=6,"mixed","low accountability-framing"))</x:f>
        <x:v>engineering/accountability-forward</x:v>
      </x:c>
      <x:c r="F8" s="18" t="n">
        <x:f>COUNTIFS('Optional Flags'!$A:$A,A8,'Optional Flags'!$C:$C,"&lt;&gt;None")</x:f>
        <x:v>0</x:v>
      </x:c>
    </x:row>
    <x:row r="9">
      <x:c r="A9" s="15" t="str">
        <x:v>atlassian_2022_april_outage</x:v>
      </x:c>
      <x:c r="B9" s="15" t="str">
        <x:v>https://www.atlassian.com/blog/atlassian-engineering/post-incident-review-april-2022-outage</x:v>
      </x:c>
      <x:c r="C9" s="18" t="n">
        <x:f>SUMIFS(Scores!$F:$F,Scores!$A:$A,A9)</x:f>
        <x:v>13</x:v>
      </x:c>
      <x:c r="D9" s="18" t="n">
        <x:v>13</x:v>
      </x:c>
      <x:c r="E9" s="15" t="str">
        <x:f>IF(C9&gt;=9,"engineering/accountability-forward",IF(C9&gt;=6,"mixed","low accountability-framing"))</x:f>
        <x:v>engineering/accountability-forward</x:v>
      </x:c>
      <x:c r="F9" s="18" t="n">
        <x:f>COUNTIFS('Optional Flags'!$A:$A,A9,'Optional Flags'!$C:$C,"&lt;&gt;None")</x:f>
        <x:v>2</x:v>
      </x:c>
    </x:row>
    <x:row r="10">
      <x:c r="A10" s="15" t="str">
        <x:v>aws_s3_2008</x:v>
      </x:c>
      <x:c r="B10" s="15" t="str">
        <x:v>https://web.archive.org/web/20220403060108/https://status.aws.amazon.com/s3-20080720.html</x:v>
      </x:c>
      <x:c r="C10" s="18" t="n">
        <x:f>SUMIFS(Scores!$F:$F,Scores!$A:$A,A10)</x:f>
        <x:v>11</x:v>
      </x:c>
      <x:c r="D10" s="18" t="n">
        <x:v>13</x:v>
      </x:c>
      <x:c r="E10" s="15" t="str">
        <x:f>IF(C10&gt;=9,"engineering/accountability-forward",IF(C10&gt;=6,"mixed","low accountability-framing"))</x:f>
        <x:v>engineering/accountability-forward</x:v>
      </x:c>
      <x:c r="F10" s="18" t="n">
        <x:f>COUNTIFS('Optional Flags'!$A:$A,A10,'Optional Flags'!$C:$C,"&lt;&gt;None")</x:f>
        <x:v>1</x:v>
      </x:c>
    </x:row>
    <x:row r="11">
      <x:c r="A11" s="15" t="str">
        <x:v>discord_connectivity_2017</x:v>
      </x:c>
      <x:c r="B11" s="15" t="str">
        <x:v>https://discordstatus.com/incidents/dj3l6lw926kl</x:v>
      </x:c>
      <x:c r="C11" s="18" t="n">
        <x:f>SUMIFS(Scores!$F:$F,Scores!$A:$A,A11)</x:f>
        <x:v>13</x:v>
      </x:c>
      <x:c r="D11" s="18" t="n">
        <x:v>13</x:v>
      </x:c>
      <x:c r="E11" s="15" t="str">
        <x:f>IF(C11&gt;=9,"engineering/accountability-forward",IF(C11&gt;=6,"mixed","low accountability-framing"))</x:f>
        <x:v>engineering/accountability-forward</x:v>
      </x:c>
      <x:c r="F11" s="18" t="n">
        <x:f>COUNTIFS('Optional Flags'!$A:$A,A11,'Optional Flags'!$C:$C,"&lt;&gt;None")</x:f>
        <x:v>1</x:v>
      </x:c>
    </x:row>
    <x:row r="12">
      <x:c r="A12" s="15" t="str">
        <x:v>github_ddos_2018</x:v>
      </x:c>
      <x:c r="B12" s="15" t="str">
        <x:v>https://github.blog/news-insights/company-news/ddos-incident-report/</x:v>
      </x:c>
      <x:c r="C12" s="18" t="n">
        <x:f>SUMIFS(Scores!$F:$F,Scores!$A:$A,A12)</x:f>
        <x:v>9</x:v>
      </x:c>
      <x:c r="D12" s="18" t="n">
        <x:v>13</x:v>
      </x:c>
      <x:c r="E12" s="15" t="str">
        <x:f>IF(C12&gt;=9,"engineering/accountability-forward",IF(C12&gt;=6,"mixed","low accountability-framing"))</x:f>
        <x:v>engineering/accountability-forward</x:v>
      </x:c>
      <x:c r="F12" s="18" t="n">
        <x:f>COUNTIFS('Optional Flags'!$A:$A,A12,'Optional Flags'!$C:$C,"&lt;&gt;None")</x:f>
        <x:v>2</x:v>
      </x:c>
    </x:row>
    <x:row r="13">
      <x:c r="A13" s="15" t="str">
        <x:v>gitlab_database_2017</x:v>
      </x:c>
      <x:c r="B13" s="15" t="str">
        <x:v>https://about.gitlab.com/blog/postmortem-of-database-outage-of-january-31/</x:v>
      </x:c>
      <x:c r="C13" s="18" t="n">
        <x:f>SUMIFS(Scores!$F:$F,Scores!$A:$A,A13)</x:f>
        <x:v>13</x:v>
      </x:c>
      <x:c r="D13" s="18" t="n">
        <x:v>13</x:v>
      </x:c>
      <x:c r="E13" s="15" t="str">
        <x:f>IF(C13&gt;=9,"engineering/accountability-forward",IF(C13&gt;=6,"mixed","low accountability-framing"))</x:f>
        <x:v>engineering/accountability-forward</x:v>
      </x:c>
      <x:c r="F13" s="18" t="n">
        <x:f>COUNTIFS('Optional Flags'!$A:$A,A13,'Optional Flags'!$C:$C,"&lt;&gt;None")</x:f>
        <x:v>0</x:v>
      </x:c>
    </x:row>
    <x:row r="14">
      <x:c r="A14" s="15" t="str">
        <x:v>lkml_leapsecond_futex_2012</x:v>
      </x:c>
      <x:c r="B14" s="15" t="str">
        <x:v>https://web.archive.org/web/20220320100036/https://lkml.org/lkml/2012/7/1/203</x:v>
      </x:c>
      <x:c r="C14" s="18" t="n">
        <x:f>SUMIFS(Scores!$F:$F,Scores!$A:$A,A14)</x:f>
        <x:v>4</x:v>
      </x:c>
      <x:c r="D14" s="18" t="n">
        <x:v>13</x:v>
      </x:c>
      <x:c r="E14" s="15" t="str">
        <x:f>IF(C14&gt;=9,"engineering/accountability-forward",IF(C14&gt;=6,"mixed","low accountability-framing"))</x:f>
        <x:v>low accountability-framing</x:v>
      </x:c>
      <x:c r="F14" s="18" t="n">
        <x:f>COUNTIFS('Optional Flags'!$A:$A,A14,'Optional Flags'!$C:$C,"&lt;&gt;None")</x:f>
        <x:v>0</x:v>
      </x:c>
    </x:row>
    <x:row r="15">
      <x:c r="A15" s="15" t="str">
        <x:v>stack_exchange_2014</x:v>
      </x:c>
      <x:c r="B15" s="15" t="str">
        <x:v>https://web.archive.org/web/20201020103424/https://stackstatus.net/post/96025967369/outage-post-mortem-august-25th-2014</x:v>
      </x:c>
      <x:c r="C15" s="18" t="n">
        <x:f>SUMIFS(Scores!$F:$F,Scores!$A:$A,A15)</x:f>
        <x:v>8</x:v>
      </x:c>
      <x:c r="D15" s="18" t="n">
        <x:v>13</x:v>
      </x:c>
      <x:c r="E15" s="15" t="str">
        <x:f>IF(C15&gt;=9,"engineering/accountability-forward",IF(C15&gt;=6,"mixed","low accountability-framing"))</x:f>
        <x:v>mixed</x:v>
      </x:c>
      <x:c r="F15" s="18" t="n">
        <x:f>COUNTIFS('Optional Flags'!$A:$A,A15,'Optional Flags'!$C:$C,"&lt;&gt;None")</x:f>
        <x:v>0</x:v>
      </x:c>
    </x:row>
    <x:row r="16">
      <x:c r="A16" s="15" t="str">
        <x:v>eve_boot_ini_2007</x:v>
      </x:c>
      <x:c r="B16" s="15" t="str">
        <x:v>https://www.eveonline.com/news/view/about-the-boot.ini-issue</x:v>
      </x:c>
      <x:c r="C16" s="18" t="n">
        <x:f>SUMIFS(Scores!$F:$F,Scores!$A:$A,A16)</x:f>
        <x:v>12</x:v>
      </x:c>
      <x:c r="D16" s="18" t="n">
        <x:v>13</x:v>
      </x:c>
      <x:c r="E16" s="15" t="str">
        <x:f>IF(C16&gt;=9,"engineering/accountability-forward",IF(C16&gt;=6,"mixed","low accountability-framing"))</x:f>
        <x:v>engineering/accountability-forward</x:v>
      </x:c>
      <x:c r="F16" s="18" t="n">
        <x:f>COUNTIFS('Optional Flags'!$A:$A,A16,'Optional Flags'!$C:$C,"&lt;&gt;None")</x:f>
        <x:v>0</x:v>
      </x:c>
    </x:row>
  </x:sheetData>
  <x:conditionalFormatting sqref="C2:C16">
    <x:cfRule type="colorScale" priority="1">
      <x:colorScale>
        <x:cfvo type="min"/>
        <x:cfvo type="percentile" val="50"/>
        <x:cfvo type="max"/>
        <x:color rgb="FEE2E2"/>
        <x:color rgb="FEF3C7"/>
        <x:color rgb="DCFCE7"/>
      </x:colorScale>
    </x:cfRule>
  </x:conditionalFormatting>
  <x:pageMargins left="0.7" right="0.7" top="0.75" bottom="0.75" header="0.3" footer="0.3"/>
  <x:tableParts count="1">
    <x:tablePart xmlns:r="http://schemas.openxmlformats.org/officeDocument/2006/relationships" r:id="Rd4df01daefd04e8f"/>
  </x:tableParts>
</x:worksheet>
</file>

<file path=xl/worksheets/sheet2.xml><?xml version="1.0" encoding="utf-8"?>
<x:worksheet xmlns:x="http://schemas.openxmlformats.org/spreadsheetml/2006/main">
  <x:sheetFormatPr defaultRowHeight="15"/>
  <x:cols>
    <x:col min="1" max="1" width="28" hidden="0" customWidth="1"/>
    <x:col min="2" max="2" width="50" hidden="0" customWidth="1"/>
    <x:col min="3" max="3" width="12" hidden="0" customWidth="1"/>
    <x:col min="4" max="4" width="28" hidden="0" customWidth="1"/>
    <x:col min="5" max="5" width="26" hidden="0" customWidth="1"/>
    <x:col min="6" max="6" width="10" hidden="0" customWidth="1"/>
    <x:col min="7" max="7" width="55" hidden="0" customWidth="1"/>
    <x:col min="8" max="8" width="55" hidden="0" customWidth="1"/>
  </x:cols>
  <x:sheetData>
    <x:row r="1" ht="24" customHeight="1">
      <x:c r="A1" s="14" t="str">
        <x:v>document_id</x:v>
      </x:c>
      <x:c r="B1" s="14" t="str">
        <x:v>source_url</x:v>
      </x:c>
      <x:c r="C1" s="14" t="str">
        <x:v>item_number</x:v>
      </x:c>
      <x:c r="D1" s="14" t="str">
        <x:v>item_name</x:v>
      </x:c>
      <x:c r="E1" s="14" t="str">
        <x:v>principle</x:v>
      </x:c>
      <x:c r="F1" s="14" t="str">
        <x:v>score</x:v>
      </x:c>
      <x:c r="G1" s="14" t="str">
        <x:v>evidence_quote</x:v>
      </x:c>
      <x:c r="H1" s="14" t="str">
        <x:v>rationale</x:v>
      </x:c>
    </x:row>
    <x:row r="2">
      <x:c r="A2" s="15" t="str">
        <x:v>cloudflare_2019</x:v>
      </x:c>
      <x:c r="B2" s="15" t="str">
        <x:v>https://blog.cloudflare.com/details-of-the-cloudflare-outage-on-july-2-2019/</x:v>
      </x:c>
      <x:c r="C2" s="18" t="n">
        <x:v>1</x:v>
      </x:c>
      <x:c r="D2" s="15" t="str">
        <x:v>Quantification of User Impact</x:v>
      </x:c>
      <x:c r="E2" s="15" t="str">
        <x:v>Disclosure of Harm</x:v>
      </x:c>
      <x:c r="F2" s="18" t="n">
        <x:v>2</x:v>
      </x:c>
      <x:c r="G2" s="15" t="str">
        <x:v>the Cloudflare service went down for 27 minutes ... we had lost 80% of our traffic ... CPUs dedicated to serving HTTP/HTTPS traffic spiking to nearly 100% usage across the servers in our network</x:v>
      </x:c>
      <x:c r="H2" s="15" t="str">
        <x:v>Impact is quantified across multiple dimensions: duration (27 minutes), traffic share lost (80%), CPU saturation (~100%), global scope (worldwide PoPs), and observable user-facing symptom (502 errors).</x:v>
      </x:c>
    </x:row>
    <x:row r="3">
      <x:c r="A3" s="15" t="str">
        <x:v>cloudflare_2019</x:v>
      </x:c>
      <x:c r="B3" s="15" t="str">
        <x:v>https://blog.cloudflare.com/details-of-the-cloudflare-outage-on-july-2-2019/</x:v>
      </x:c>
      <x:c r="C3" s="18" t="n">
        <x:v>2</x:v>
      </x:c>
      <x:c r="D3" s="15" t="str">
        <x:v>Internal-Awareness Timeline</x:v>
      </x:c>
      <x:c r="E3" s="15" t="str">
        <x:v>Temporal Answerability</x:v>
      </x:c>
      <x:c r="F3" s="18" t="n">
        <x:v>2</x:v>
      </x:c>
      <x:c r="G3" s="15" t="str">
        <x:v>At 13:42 an engineer ... deployed a minor change ... Three minutes later the first PagerDuty page went out ... At 14:02 the entire team looked at me when it was proposed that we use a 'global terminate' ... a team member executed the global WAF termination at 14:07 and by 14:09 traffic levels and CPU were back to expected levels worldwide ... At 14:52 we were 100% satisfied</x:v>
      </x:c>
      <x:c r="H3" s="15" t="str">
        <x:v>Explicit minute-resolution timestamps for deploy, detection, identification, mitigation decision, mitigation execution, recovery, and full restoration. Reader can compute time-to-detect (~3 min), time-to-mitigate (~25 min), and time-to-full-resolution (~70 min).</x:v>
      </x:c>
    </x:row>
    <x:row r="4">
      <x:c r="A4" s="15" t="str">
        <x:v>cloudflare_2019</x:v>
      </x:c>
      <x:c r="B4" s="15" t="str">
        <x:v>https://blog.cloudflare.com/details-of-the-cloudflare-outage-on-july-2-2019/</x:v>
      </x:c>
      <x:c r="C4" s="18" t="n">
        <x:v>3</x:v>
      </x:c>
      <x:c r="D4" s="15" t="str">
        <x:v>Causal Specificity / Agency</x:v>
      </x:c>
      <x:c r="E4" s="15" t="str">
        <x:v>Inspectable Causality</x:v>
      </x:c>
      <x:c r="F4" s="18" t="n">
        <x:v>2</x:v>
      </x:c>
      <x:c r="G4" s="15" t="str">
        <x:v>The CPU exhaustion was caused by a single WAF rule that contained a poorly written regular expression that ended up creating excessive backtracking. The regular expression that was at the heart of the outage is (?:(?:\"|'|\]|\}|\\|\d|(?:nan|infinity|true|false|null|undefined|symbol|math)|\`|\-|\+)+[)]*;?((?:\s|-|~|!|{}|\|\||\+)*.*(?:.*=.*)))</x:v>
      </x:c>
      <x:c r="H4" s="15" t="str">
        <x:v>Names the specific artifact (the literal regex), the named system (WAF Managed Rules), the responsible team (firewall team), the change type (XSS detection rule), the deploy mechanism (automatic process via Jira), and the precise failure mechanism (regex backtracking exhausting HTTP/HTTPS CPU cores). Causal pathway is fully inspectable.</x:v>
      </x:c>
    </x:row>
    <x:row r="5">
      <x:c r="A5" s="15" t="str">
        <x:v>cloudflare_2019</x:v>
      </x:c>
      <x:c r="B5" s="15" t="str">
        <x:v>https://blog.cloudflare.com/details-of-the-cloudflare-outage-on-july-2-2019/</x:v>
      </x:c>
      <x:c r="C5" s="18" t="n">
        <x:v>4</x:v>
      </x:c>
      <x:c r="D5" s="15" t="str">
        <x:v>Failure Enumeration</x:v>
      </x:c>
      <x:c r="E5" s="15" t="str">
        <x:v>Systemic Responsibility</x:v>
      </x:c>
      <x:c r="F5" s="18" t="n">
        <x:v>2</x:v>
      </x:c>
      <x:c r="G5" s="15" t="str">
        <x:v>with our Access service down we couldn't authenticate to our internal control panel (and once we were back we'd discover that some members of the team had lost access because of a security feature that disables their credentials if they don't use the internal control panel frequently). And we couldn't get to other internal services like Jira or the build system. To get to them, we had to use a bypass mechanism that wasn't frequently used (another thing to drill on after the event) ... even in the simulate mode the rules actually need to execute</x:v>
      </x:c>
      <x:c r="H5" s="15" t="str">
        <x:v>Enumerates 5+ contributing factors spanning technical and procedural categories: (1) regex backtracking, (2) simulate mode still executes rule against real traffic, (3) self-dependency on Access blocked authentication during outage, (4) security policy auto-disabled engineers' credentials, (5) Jira/build system inaccessible, (6) infrequently-drilled bypass mechanism, (7) rapid global rollout without performance gating. Includes operational, procedural, and rollout/training failures.</x:v>
      </x:c>
    </x:row>
    <x:row r="6">
      <x:c r="A6" s="15" t="str">
        <x:v>cloudflare_2019</x:v>
      </x:c>
      <x:c r="B6" s="15" t="str">
        <x:v>https://blog.cloudflare.com/details-of-the-cloudflare-outage-on-july-2-2019/</x:v>
      </x:c>
      <x:c r="C6" s="18" t="n">
        <x:v>5</x:v>
      </x:c>
      <x:c r="D6" s="15" t="str">
        <x:v>Action Item Concreteness</x:v>
      </x:c>
      <x:c r="E6" s="15" t="str">
        <x:v>Verifiable Repair</x:v>
      </x:c>
      <x:c r="F6" s="18" t="n">
        <x:v>0</x:v>
      </x:c>
      <x:c r="G6" s="15" t="str">
        <x:v>another thing to drill on after the event</x:v>
      </x:c>
      <x:c r="H6" s="15" t="str">
        <x:v>The visible text contains only one passing remediation hint ('another thing to drill on'), with no enumerated action items, owners, deadlines, completion statuses, metrics, or named deliverables. Past incident-time actions (global terminate, staged re-enablement) are described but are not forward-looking commitments.</x:v>
      </x:c>
    </x:row>
    <x:row r="7">
      <x:c r="A7" s="15" t="str">
        <x:v>cloudflare_2019</x:v>
      </x:c>
      <x:c r="B7" s="15" t="str">
        <x:v>https://blog.cloudflare.com/details-of-the-cloudflare-outage-on-july-2-2019/</x:v>
      </x:c>
      <x:c r="C7" s="18" t="n">
        <x:v>6</x:v>
      </x:c>
      <x:c r="D7" s="15" t="str">
        <x:v>Stance Toward Harm Caused</x:v>
      </x:c>
      <x:c r="E7" s="15" t="str">
        <x:v>Recognition of Affected Parties</x:v>
      </x:c>
      <x:c r="F7" s="18" t="n">
        <x:v>2</x:v>
      </x:c>
      <x:c r="G7" s="15" t="str">
        <x:v>We know how much this hurt our customers. We're ashamed it happened ... It must have been incredibly stressful, frustrating and frightening if you were one of our customers ... a mistake we made</x:v>
      </x:c>
      <x:c r="H7" s="15" t="str">
        <x:v>Explicit shame ('we're ashamed'), explicit responsibility ('a mistake we made'), and explicit recognition of customer harm including emotional impact ('stressful, frustrating and frightening'). Meets the bar for explicit remorse/responsibility.</x:v>
      </x:c>
    </x:row>
    <x:row r="8">
      <x:c r="A8" s="15" t="str">
        <x:v>cloudflare_2019</x:v>
      </x:c>
      <x:c r="B8" s="15" t="str">
        <x:v>https://blog.cloudflare.com/details-of-the-cloudflare-outage-on-july-2-2019/</x:v>
      </x:c>
      <x:c r="C8" s="18" t="n">
        <x:v>7</x:v>
      </x:c>
      <x:c r="D8" s="15" t="str">
        <x:v>Framing Subject</x:v>
      </x:c>
      <x:c r="E8" s="15" t="str">
        <x:v>Failure-Centered Framing</x:v>
      </x:c>
      <x:c r="F8" s="18" t="n">
        <x:v>1</x:v>
      </x:c>
      <x:c r="G8" s="15" t="str">
        <x:v>Details of the Cloudflare outage on July 2, 2019</x:v>
      </x:c>
      <x:c r="H8" s="15" t="str">
        <x:v>Title centers the outage itself as the subject. Opening recounts the engineering record of a past incident rather than responding to discourse, rumors, or customer reports.</x:v>
      </x:c>
    </x:row>
    <x:row r="9">
      <x:c r="A9" s="15" t="str">
        <x:v>anthropic_2026_claude_code</x:v>
      </x:c>
      <x:c r="B9" s="15" t="str">
        <x:v>https://www.anthropic.com/engineering/april-23-postmortem</x:v>
      </x:c>
      <x:c r="C9" s="18" t="n">
        <x:v>1</x:v>
      </x:c>
      <x:c r="D9" s="15" t="str">
        <x:v>Quantification of User Impact</x:v>
      </x:c>
      <x:c r="E9" s="15" t="str">
        <x:v>Disclosure of Harm</x:v>
      </x:c>
      <x:c r="F9" s="18" t="n">
        <x:v>1</x:v>
      </x:c>
      <x:c r="G9" s="15" t="str">
        <x:v>reports that Claude's responses have worsened for some users ... One of these evaluations showed a 3% drop for both Opus 4.6 and 4.7 ... This impacted Sonnet 4.6, Opus 4.6, and Opus 4.7</x:v>
      </x:c>
      <x:c r="H9" s="15" t="str">
        <x:v>Some numbers are provided: deploy/revert dates allow rough duration calculation per issue, affected products and model variants are named, and a 3% eval drop is cited for one issue. But user-facing impact remains qualitative — repeated 'for some users,' no count of affected users, no traffic share, no request failure rate, and no magnitude figure for the other two issues.</x:v>
      </x:c>
    </x:row>
    <x:row r="10">
      <x:c r="A10" s="15" t="str">
        <x:v>anthropic_2026_claude_code</x:v>
      </x:c>
      <x:c r="B10" s="15" t="str">
        <x:v>https://www.anthropic.com/engineering/april-23-postmortem</x:v>
      </x:c>
      <x:c r="C10" s="18" t="n">
        <x:v>2</x:v>
      </x:c>
      <x:c r="D10" s="15" t="str">
        <x:v>Internal-Awareness Timeline</x:v>
      </x:c>
      <x:c r="E10" s="15" t="str">
        <x:v>Temporal Answerability</x:v>
      </x:c>
      <x:c r="F10" s="18" t="n">
        <x:v>1</x:v>
      </x:c>
      <x:c r="G10" s="15" t="str">
        <x:v>While we began investigating reports in early March, they were challenging to distinguish from normal variation in user feedback at first ... Soon after rolling out, users began reporting that Claude Code felt less intelligent ... it took us over a week to discover and confirm the root cause ... We fixed this bug on April 10 in v2.1.101</x:v>
      </x:c>
      <x:c r="H10" s="15" t="str">
        <x:v>Partial timeline. Deploy and revert dates are provided for each of the three issues (March 4 / April 7; March 26 / April 10; April 16 / April 20), but exact detection, escalation, and mitigation times are not given. Vague phrasing dominates the gaps: 'began investigating reports in early March,' 'soon after rolling out,' 'over a week to discover.' Reader cannot compute precise time-to-detect or time-to-mitigate.</x:v>
      </x:c>
    </x:row>
    <x:row r="11">
      <x:c r="A11" s="15" t="str">
        <x:v>anthropic_2026_claude_code</x:v>
      </x:c>
      <x:c r="B11" s="15" t="str">
        <x:v>https://www.anthropic.com/engineering/april-23-postmortem</x:v>
      </x:c>
      <x:c r="C11" s="18" t="n">
        <x:v>3</x:v>
      </x:c>
      <x:c r="D11" s="15" t="str">
        <x:v>Causal Specificity / Agency</x:v>
      </x:c>
      <x:c r="E11" s="15" t="str">
        <x:v>Inspectable Causality</x:v>
      </x:c>
      <x:c r="F11" s="18" t="n">
        <x:v>2</x:v>
      </x:c>
      <x:c r="G11" s="15" t="str">
        <x:v>To do this we used the clear_thinking_20251015 API header along with keep:1. The implementation had a bug. Instead of clearing thinking history once, it cleared it on every turn for the rest of the session ... 'Length limits: keep text between tool calls to ≤25 words. Keep final responses to ≤100 words unless the task requires more detail.'</x:v>
      </x:c>
      <x:c r="H11" s="15" t="str">
        <x:v>Names the specific API header (clear_thinking_20251015), parameter (keep:1), the precise misbehavior (clearing every turn instead of once), the literal offending system prompt text, the affected product surfaces (Claude Code, Agent SDK, Cowork), the affected models (Sonnet 4.6, Opus 4.6, Opus 4.7), and the version numbers of fixes (v2.1.101, v2.1.116). Causal pathway is fully inspectable at the artifact level.</x:v>
      </x:c>
    </x:row>
    <x:row r="12">
      <x:c r="A12" s="15" t="str">
        <x:v>anthropic_2026_claude_code</x:v>
      </x:c>
      <x:c r="B12" s="15" t="str">
        <x:v>https://www.anthropic.com/engineering/april-23-postmortem</x:v>
      </x:c>
      <x:c r="C12" s="18" t="n">
        <x:v>4</x:v>
      </x:c>
      <x:c r="D12" s="15" t="str">
        <x:v>Failure Enumeration</x:v>
      </x:c>
      <x:c r="E12" s="15" t="str">
        <x:v>Systemic Responsibility</x:v>
      </x:c>
      <x:c r="F12" s="18" t="n">
        <x:v>2</x:v>
      </x:c>
      <x:c r="G12" s="15" t="str">
        <x:v>The changes it introduced made it past multiple human and automated code reviews, as well as unit tests, end-to-end tests, automated verification, and dogfooding ... Two unrelated experiments made it challenging for us to reproduce the issue at first ... an orthogonal change in how we display thinking suppressed this bug in most CLI sessions, so we didn't catch it even when testing external builds ... they were challenging to distinguish from normal variation in user feedback at first, and neither our internal usage nor evals initially reproduced the issues</x:v>
      </x:c>
      <x:c r="H12" s="15" t="str">
        <x:v>Enumerates 5+ contributing factors across categories: (1) wrong product tradeoff on default effort, (2) implementation bug in cache clearing, (3) test suite passed despite the bug (testing gap), (4) two unrelated experiments masked the bug in dogfooding (testing/visibility gap), (5) internal staff used a build that differed from public Claude Code (rollout/dogfooding gap), (6) reports indistinguishable from normal variation (monitoring/signal gap), (7) ablations not initially run on a broader eval set (testing process gap). Includes testing, monitoring, process, and dogfooding failures.</x:v>
      </x:c>
    </x:row>
    <x:row r="13">
      <x:c r="A13" s="15" t="str">
        <x:v>anthropic_2026_claude_code</x:v>
      </x:c>
      <x:c r="B13" s="15" t="str">
        <x:v>https://www.anthropic.com/engineering/april-23-postmortem</x:v>
      </x:c>
      <x:c r="C13" s="18" t="n">
        <x:v>5</x:v>
      </x:c>
      <x:c r="D13" s="15" t="str">
        <x:v>Action Item Concreteness</x:v>
      </x:c>
      <x:c r="E13" s="15" t="str">
        <x:v>Verifiable Repair</x:v>
      </x:c>
      <x:c r="F13" s="18" t="n">
        <x:v>1</x:v>
      </x:c>
      <x:c r="G13" s="15" t="str">
        <x:v>we'll ensure that a larger share of internal staff use the exact public build of Claude Code ... we'll make improvements to our Code Review tool that we use internally, and ship this improved version to customers ... We will run a broad suite of per-model evals for every system prompt change to Claude Code ... we have built new tooling to make prompt changes easier to review and audit. We've additionally added guidance to our CLAUDE.md ... we'll add soak periods, a broader eval suite, and gradual rollouts</x:v>
      </x:c>
      <x:c r="H13" s="15" t="str">
        <x:v>Names concrete process and tooling changes (per-model eval suite for prompt changes, CLAUDE.md guidance for model-gated changes, new prompt-change audit tooling, soak periods, gradual rollouts, ship internal Code Review improvements to customers). A few items have implicit completion status ('have built,' 'added'). However, most action items lack the verifiability signals needed for a 2: no ETAs/deadlines, no named owners or teams, no metrics, no quantified scope (e.g., what fraction of staff, how many evals, what soak duration), and no acceptance criteria.</x:v>
      </x:c>
    </x:row>
    <x:row r="14">
      <x:c r="A14" s="15" t="str">
        <x:v>anthropic_2026_claude_code</x:v>
      </x:c>
      <x:c r="B14" s="15" t="str">
        <x:v>https://www.anthropic.com/engineering/april-23-postmortem</x:v>
      </x:c>
      <x:c r="C14" s="18" t="n">
        <x:v>6</x:v>
      </x:c>
      <x:c r="D14" s="15" t="str">
        <x:v>Stance Toward Harm Caused</x:v>
      </x:c>
      <x:c r="E14" s="15" t="str">
        <x:v>Recognition of Affected Parties</x:v>
      </x:c>
      <x:c r="F14" s="18" t="n">
        <x:v>2</x:v>
      </x:c>
      <x:c r="G14" s="15" t="str">
        <x:v>This isn't the experience users should expect from Claude Code. As of April 23, we're resetting usage limits for all subscribers ... Today we are resetting usage limits for all subscribers.</x:v>
      </x:c>
      <x:c r="H14" s="15" t="str">
        <x:v>Score driven by explicit restitution — usage-limit reset for all subscribers, repeated twice, which matches the rubric's example of 'issuing credits/refunds/resets.' Note: explicit apology, remorse, or 'we take responsibility' language is absent; the verbal acknowledgment ('not the experience users should expect') is itself the rubric's mild/implicit example. The 2 is earned on the restitution prong, not on the apology prong.</x:v>
      </x:c>
    </x:row>
    <x:row r="15">
      <x:c r="A15" s="15" t="str">
        <x:v>anthropic_2026_claude_code</x:v>
      </x:c>
      <x:c r="B15" s="15" t="str">
        <x:v>https://www.anthropic.com/engineering/april-23-postmortem</x:v>
      </x:c>
      <x:c r="C15" s="18" t="n">
        <x:v>7</x:v>
      </x:c>
      <x:c r="D15" s="15" t="str">
        <x:v>Framing Subject</x:v>
      </x:c>
      <x:c r="E15" s="15" t="str">
        <x:v>Failure-Centered Framing</x:v>
      </x:c>
      <x:c r="F15" s="18" t="n">
        <x:v>0</x:v>
      </x:c>
      <x:c r="G15" s="15" t="str">
        <x:v>An update on recent Claude Code quality reports ... Over the past month, we've been looking into reports that Claude's responses have worsened for some users.</x:v>
      </x:c>
      <x:c r="H15" s="15" t="str">
        <x:v>Title and opening center 'reports' rather than the outage/degradation itself. The framing subject is the discourse around quality (user reports, what we've been 'looking into') rather than the failure as the subject. This nearly matches the rubric's literal Score 0 example, 'An update on recent quality reports.'</x:v>
      </x:c>
    </x:row>
    <x:row r="16">
      <x:c r="A16" s="15" t="str">
        <x:v>roblox_2021</x:v>
      </x:c>
      <x:c r="B16" s="15" t="str">
        <x:v>https://about.roblox.com/newsroom/2022/01/roblox-return-to-service-10-28-10-31-2021</x:v>
      </x:c>
      <x:c r="C16" s="18" t="n">
        <x:v>1</x:v>
      </x:c>
      <x:c r="D16" s="15" t="str">
        <x:v>Quantification of User Impact</x:v>
      </x:c>
      <x:c r="E16" s="15" t="str">
        <x:v>Disclosure of Harm</x:v>
      </x:c>
      <x:c r="F16" s="18" t="n">
        <x:v>2</x:v>
      </x:c>
      <x:c r="G16" s="15" t="str">
        <x:v>Starting October 28th and fully resolving on October 31st, Roblox experienced a 73-hour outage. Fifty million players regularly use Roblox every day ... At 16:35, the number of online players dropped to 50% of normal ... ultimately resulted in a complete system outage</x:v>
      </x:c>
      <x:c r="H16" s="15" t="str">
        <x:v>Impact is quantified across multiple dimensions: total duration (73 hours), DAU baseline (50 million players), magnitude (50% drop progressing to full outage), affected scope (full backend / hundreds of services), infrastructure scale (18,000 servers, 170,000 containers), and explicit data-loss scope ('no user data loss').</x:v>
      </x:c>
    </x:row>
    <x:row r="17">
      <x:c r="A17" s="15" t="str">
        <x:v>roblox_2021</x:v>
      </x:c>
      <x:c r="B17" s="15" t="str">
        <x:v>https://about.roblox.com/newsroom/2022/01/roblox-return-to-service-10-28-10-31-2021</x:v>
      </x:c>
      <x:c r="C17" s="18" t="n">
        <x:v>2</x:v>
      </x:c>
      <x:c r="D17" s="15" t="str">
        <x:v>Internal-Awareness Timeline</x:v>
      </x:c>
      <x:c r="E17" s="15" t="str">
        <x:v>Temporal Answerability</x:v>
      </x:c>
      <x:c r="F17" s="18" t="n">
        <x:v>2</x:v>
      </x:c>
      <x:c r="G17" s="15" t="str">
        <x:v>Initial Detection (10/28 13:37) ... At 16:35, the number of online players dropped to 50% of normal ... By 19:00, the team migrated most of the cluster to the new machines ... Return to Service Attempt #1 (10/29 02:00 – 04:00) ... at 16:00 on Oct 29th, over 24 hours after the start of the outage ... by 02:00 on Oct 30th ... The config change finished propagating at 15:51 ... At 16:45 Sunday, 73 hours after the start of the outage, 100% of players were given access</x:v>
      </x:c>
      <x:c r="H17" s="15" t="str">
        <x:v>Explicit minute-resolution timeline across the entire 73-hour event with bounded windows for detection, each of four diagnostic phases, root-cause discovery, caching restoration, and player return. Reader can compute time-to-detect, time-between-attempts, time-to-root-cause-identification, and time-to-full-restore.</x:v>
      </x:c>
    </x:row>
    <x:row r="18">
      <x:c r="A18" s="15" t="str">
        <x:v>roblox_2021</x:v>
      </x:c>
      <x:c r="B18" s="15" t="str">
        <x:v>https://about.roblox.com/newsroom/2022/01/roblox-return-to-service-10-28-10-31-2021</x:v>
      </x:c>
      <x:c r="C18" s="18" t="n">
        <x:v>3</x:v>
      </x:c>
      <x:c r="D18" s="15" t="str">
        <x:v>Causal Specificity / Agency</x:v>
      </x:c>
      <x:c r="E18" s="15" t="str">
        <x:v>Inspectable Causality</x:v>
      </x:c>
      <x:c r="F18" s="18" t="n">
        <x:v>2</x:v>
      </x:c>
      <x:c r="G18" s="15" t="str">
        <x:v>Roblox upgraded from Consul 1.9 to Consul 1.10 to take advantage of a new streaming feature ... while streaming was overall more efficient, it used fewer concurrency control elements (Go channels) in its implementation than long polling ... Consul uses a popular open-source persistence library named BoltDB to store Raft logs ... due to the design of BoltDB, even when the oldest log entries are deleted, the space BoltDB uses on disk never shrinks ... 16kB write operations were instead becoming much larger ... a new 7.8MB freelist was also being written out to disk even though the actual raw data being appended was 16kB or less</x:v>
      </x:c>
      <x:c r="H18" s="15" t="str">
        <x:v>Names specific software (Consul 1.10, BoltDB, Nomad, Vault, Raft), specific feature (streaming), specific concurrency primitive (Go channel contention), specific data structure (BoltDB freelist), specific hardware (64- to 128-core dual-socket NUMA), specific service rollout (traffic routing service enabled Oct 27 14:00), and exact byte-level pathology (16kB writes inflated by 7.8MB freelist rewrites). Causal pathway is fully inspectable down to the byte and code-path level.</x:v>
      </x:c>
    </x:row>
    <x:row r="19">
      <x:c r="A19" s="15" t="str">
        <x:v>roblox_2021</x:v>
      </x:c>
      <x:c r="B19" s="15" t="str">
        <x:v>https://about.roblox.com/newsroom/2022/01/roblox-return-to-service-10-28-10-31-2021</x:v>
      </x:c>
      <x:c r="C19" s="18" t="n">
        <x:v>4</x:v>
      </x:c>
      <x:c r="D19" s="15" t="str">
        <x:v>Failure Enumeration</x:v>
      </x:c>
      <x:c r="E19" s="15" t="str">
        <x:v>Systemic Responsibility</x:v>
      </x:c>
      <x:c r="F19" s="18" t="n">
        <x:v>2</x:v>
      </x:c>
      <x:c r="G19" s="15" t="str">
        <x:v>A single Consul cluster supporting multiple workloads exacerbated the impact of these issues. Challenges in diagnosing these two primarily unrelated issues buried deep in the Consul implementation were largely responsible for the extended downtime. Critical monitoring systems that would have provided better visibility into the cause of the outage relied on affected systems, such as Consul ... The caching system's automated deployment tool was built to support incremental adjustments to large scale deployments that were already handling traffic at scale, not iterative attempts to bootstrap a large cluster from scratch</x:v>
      </x:c>
      <x:c r="H19" s="15" t="str">
        <x:v>Enumerates 5+ contributing factors spanning multiple categories: (1) streaming Go-channel contention, (2) BoltDB freelist pathology, (3) single Consul cluster as SPOF (architectural), (4) telemetry circular dependency on Consul (monitoring gap), (5) NUMA dual-socket worsening contention (hardware), (6) cache deployment tool not designed for cold bootstrap (tooling/procedural gap), (7) job scheduler misclassifying unhealthy node as open (technical), (8) rollout of streaming on traffic routing one day before peak prep (rollout/procedural). Includes architectural, monitoring, tooling, and rollout failures.</x:v>
      </x:c>
    </x:row>
    <x:row r="20">
      <x:c r="A20" s="15" t="str">
        <x:v>roblox_2021</x:v>
      </x:c>
      <x:c r="B20" s="15" t="str">
        <x:v>https://about.roblox.com/newsroom/2022/01/roblox-return-to-service-10-28-10-31-2021</x:v>
      </x:c>
      <x:c r="C20" s="18" t="n">
        <x:v>5</x:v>
      </x:c>
      <x:c r="D20" s="15" t="str">
        <x:v>Action Item Concreteness</x:v>
      </x:c>
      <x:c r="E20" s="15" t="str">
        <x:v>Verifiable Repair</x:v>
      </x:c>
      <x:c r="F20" s="18" t="n">
        <x:v>2</x:v>
      </x:c>
      <x:c r="G20" s="15" t="str">
        <x:v>We have removed this circular dependency. Our telemetry systems no longer depend on the systems that they are configured to monitor ... We have already built out the servers and networking for an additional, geographically distinct data center ... split some critical services into their own dedicated clusters ... We are working closely with HashiCorp to deploy a new version of Consul that replaces BoltDB with a successor called bbolt ... The upgrade is being tested now and will complete in Q1 ... These enhancements will be deployed as part of our next Nomad upgrade, scheduled for later this month</x:v>
      </x:c>
      <x:c r="H20" s="15" t="str">
        <x:v>Most action items name a concrete change paired with at least two verifiability signals: completion status ('have removed,' 'have already built out,' 'have split,' 'deleted'), specific timing ('complete in Q1,' 'scheduled for later this month'), named deliverables (bbolt replacement for BoltDB, dedicated Consul clusters, second data center, redesigned cache deployment mechanism), and quantified scope (specific KV data migration, obsolete data deletion). Mix of completed, in-progress, and dated future items.</x:v>
      </x:c>
    </x:row>
    <x:row r="21">
      <x:c r="A21" s="15" t="str">
        <x:v>roblox_2021</x:v>
      </x:c>
      <x:c r="B21" s="15" t="str">
        <x:v>https://about.roblox.com/newsroom/2022/01/roblox-return-to-service-10-28-10-31-2021</x:v>
      </x:c>
      <x:c r="C21" s="18" t="n">
        <x:v>6</x:v>
      </x:c>
      <x:c r="D21" s="15" t="str">
        <x:v>Stance Toward Harm Caused</x:v>
      </x:c>
      <x:c r="E21" s="15" t="str">
        <x:v>Recognition of Affected Parties</x:v>
      </x:c>
      <x:c r="F21" s="18" t="n">
        <x:v>2</x:v>
      </x:c>
      <x:c r="G21" s="15" t="str">
        <x:v>We sincerely apologize to our community for the downtime ... we take full responsibility for what happened here ... We are, of course, not proud of this outage and the impact it had on our community</x:v>
      </x:c>
      <x:c r="H21" s="15" t="str">
        <x:v>Explicit sincere apology ('We sincerely apologize'), explicit responsibility ('we take full responsibility'), and explicit recognition of community impact. Multiple Score-2 prongs are met (apology, responsibility, named recognition of harm).</x:v>
      </x:c>
    </x:row>
    <x:row r="22">
      <x:c r="A22" s="15" t="str">
        <x:v>roblox_2021</x:v>
      </x:c>
      <x:c r="B22" s="15" t="str">
        <x:v>https://about.roblox.com/newsroom/2022/01/roblox-return-to-service-10-28-10-31-2021</x:v>
      </x:c>
      <x:c r="C22" s="18" t="n">
        <x:v>7</x:v>
      </x:c>
      <x:c r="D22" s="15" t="str">
        <x:v>Framing Subject</x:v>
      </x:c>
      <x:c r="E22" s="15" t="str">
        <x:v>Failure-Centered Framing</x:v>
      </x:c>
      <x:c r="F22" s="18" t="n">
        <x:v>1</x:v>
      </x:c>
      <x:c r="G22" s="15" t="str">
        <x:v>Starting October 28th and fully resolving on October 31st, Roblox experienced a 73-hour outage</x:v>
      </x:c>
      <x:c r="H22" s="15" t="str">
        <x:v>Title (per URL: 'Return to Service 10-28 10-31 2021') and opening sentence center the outage and the return-to-service process as the subject. Not framed as a response to discourse, complaints, or reports.</x:v>
      </x:c>
    </x:row>
    <x:row r="23">
      <x:c r="A23" s="15" t="str">
        <x:v>mozilla_firefox_2022</x:v>
      </x:c>
      <x:c r="B23" s="15" t="str">
        <x:v>https://web.archive.org/web/20250314111052/https://hacks.mozilla.org/2022/02/retrospective-and-technical-details-on-the-recent-firefox-outage/</x:v>
      </x:c>
      <x:c r="C23" s="18" t="n">
        <x:v>1</x:v>
      </x:c>
      <x:c r="D23" s="15" t="str">
        <x:v>Quantification of User Impact</x:v>
      </x:c>
      <x:c r="E23" s="15" t="str">
        <x:v>Disclosure of Harm</x:v>
      </x:c>
      <x:c r="F23" s="18" t="n">
        <x:v>1</x:v>
      </x:c>
      <x:c r="G23" s="15" t="str">
        <x:v>Firefox became unusable for close to two hours for users worldwide ... Backlog of pending crash reports building up and reaching close to 300K unprocessed reports</x:v>
      </x:c>
      <x:c r="H23" s="15" t="str">
        <x:v>Two numbers provided: duration (~2 hours) and crash-report backlog (~300K). However, the 300K is an internal queue depth at the crash-reporting service rather than direct user-facing impact, and the user count, traffic share, geographic specifics, and request failure rate are described only qualitatively ('users worldwide,' 'many people's workflow'). Impact remains partially quantified.</x:v>
      </x:c>
    </x:row>
    <x:row r="24">
      <x:c r="A24" s="15" t="str">
        <x:v>mozilla_firefox_2022</x:v>
      </x:c>
      <x:c r="B24" s="15" t="str">
        <x:v>https://web.archive.org/web/20250314111052/https://hacks.mozilla.org/2022/02/retrospective-and-technical-details-on-the-recent-firefox-outage/</x:v>
      </x:c>
      <x:c r="C24" s="18" t="n">
        <x:v>2</x:v>
      </x:c>
      <x:c r="D24" s="15" t="str">
        <x:v>Internal-Awareness Timeline</x:v>
      </x:c>
      <x:c r="E24" s="15" t="str">
        <x:v>Temporal Answerability</x:v>
      </x:c>
      <x:c r="F24" s="18" t="n">
        <x:v>1</x:v>
      </x:c>
      <x:c r="G24" s="15" t="str">
        <x:v>on January 13, 2022 at 07:28 UTC, GCP deployed an unannounced change to make HTTP/3 the default ... Shortly after, we noticed a spike in crashes ... We disabled HTTP/3 explicitly on GCP at 09:12 UTC</x:v>
      </x:c>
      <x:c r="H24" s="15" t="str">
        <x:v>Partial timeline. Specific UTC timestamps are given for the triggering vendor change (07:28) and the mitigation (09:12), allowing total-event-duration computation (~104 min). But detection and escalation are vague ('Shortly after, we noticed'), so time-to-detect and detection-to-mitigation gaps cannot be computed.</x:v>
      </x:c>
    </x:row>
    <x:row r="25">
      <x:c r="A25" s="15" t="str">
        <x:v>mozilla_firefox_2022</x:v>
      </x:c>
      <x:c r="B25" s="15" t="str">
        <x:v>https://web.archive.org/web/20250314111052/https://hacks.mozilla.org/2022/02/retrospective-and-technical-details-on-the-recent-firefox-outage/</x:v>
      </x:c>
      <x:c r="C25" s="18" t="n">
        <x:v>3</x:v>
      </x:c>
      <x:c r="D25" s="15" t="str">
        <x:v>Causal Specificity / Agency</x:v>
      </x:c>
      <x:c r="E25" s="15" t="str">
        <x:v>Inspectable Causality</x:v>
      </x:c>
      <x:c r="F25" s="18" t="n">
        <x:v>2</x:v>
      </x:c>
      <x:c r="G25" s="15" t="str">
        <x:v>All HTTP/3 connections go through Necko, our networking stack ... Rust components that need direct network access are not using Necko directly, but are calling into it through an intermediate library called viaduct ... viaduct will lower-case each header and pass it on to Necko ... the API checks in Necko are case-insensitive while the lower-level HTTP/3 code is case-sensitive ... Telemetry is currently the only Rust-based component in Firefox Desktop that uses the network stack and adds a Content-Length header ... this code would only terminate when there was no additional content to send. This unexpected state caused the code to loop indefinitely</x:v>
      </x:c>
      <x:c r="H25" s="15" t="str">
        <x:v>Names every link in the causal chain: vendor (GCP), the load balancer setting ('Automatic (default)'), the protocol switch (HTTP/2 → HTTP/3), the affected internal components (Necko, viaduct, Telemetry), the specific header (Content-Length), the exact bug (case-sensitivity mismatch between Necko API checks and HTTP/3 code), and the failure mode (infinite loop on the single socket thread). Causal pathway is fully inspectable.</x:v>
      </x:c>
    </x:row>
    <x:row r="26">
      <x:c r="A26" s="15" t="str">
        <x:v>mozilla_firefox_2022</x:v>
      </x:c>
      <x:c r="B26" s="15" t="str">
        <x:v>https://web.archive.org/web/20250314111052/https://hacks.mozilla.org/2022/02/retrospective-and-technical-details-on-the-recent-firefox-outage/</x:v>
      </x:c>
      <x:c r="C26" s="18" t="n">
        <x:v>4</x:v>
      </x:c>
      <x:c r="D26" s="15" t="str">
        <x:v>Failure Enumeration</x:v>
      </x:c>
      <x:c r="E26" s="15" t="str">
        <x:v>Systemic Responsibility</x:v>
      </x:c>
      <x:c r="F26" s="18" t="n">
        <x:v>2</x:v>
      </x:c>
      <x:c r="G26" s="15" t="str">
        <x:v>GCP's deployment of HTTP/3 as default was unannounced ... Our setting of 'Automatic (default)' on the load balancers instead of a more explicit choice allowed the deployment to take place automatically ... The particular combination of HTTP/3 and viaduct on Firefox Desktop was not covered in our continuous integration system ... Current HTTP/3 tests cover the low-level protocol behavior and the Necko layer as it is used by web content</x:v>
      </x:c>
      <x:c r="H26" s="15" t="str">
        <x:v>Enumerates 5+ contributing factors across multiple categories: (1) vendor communication failure (unannounced GCP rollout), (2) configuration choice ('Automatic (default)' permitted auto-rollout), (3) testing gap (CI did not cover HTTP/3 + viaduct combination), (4) test coverage gap (no system tests across HTTP versions), (5) case-sensitivity API mismatch between layers, (6) infinite-loop fallback instead of error return, (7) single-socket-thread architecture amplifying the hang. Includes communication, procedural, and testing failures alongside technical ones.</x:v>
      </x:c>
    </x:row>
    <x:row r="27">
      <x:c r="A27" s="15" t="str">
        <x:v>mozilla_firefox_2022</x:v>
      </x:c>
      <x:c r="B27" s="15" t="str">
        <x:v>https://web.archive.org/web/20250314111052/https://hacks.mozilla.org/2022/02/retrospective-and-technical-details-on-the-recent-firefox-outage/</x:v>
      </x:c>
      <x:c r="C27" s="18" t="n">
        <x:v>5</x:v>
      </x:c>
      <x:c r="D27" s="15" t="str">
        <x:v>Action Item Concreteness</x:v>
      </x:c>
      <x:c r="E27" s="15" t="str">
        <x:v>Verifiable Repair</x:v>
      </x:c>
      <x:c r="F27" s="18" t="n">
        <x:v>0</x:v>
      </x:c>
      <x:c r="G27" s="15" t="str">
        <x:v>We are actively working with them to improve the situation ... We are reviewing all service configurations to avoid similar mistakes in the future ... We should run more system tests with different HTTP versions and doing so could have revealed this problem ... We are also investigating action points both to make the browser more resilient towards such problems and to make incident response even faster</x:v>
      </x:c>
      <x:c r="H27" s="15" t="str">
        <x:v>Action items are mostly vague and match the rubric's Score-0 examples almost verbatim ('reviewing,' 'actively working,' 'investigating,' 'should run more tests'). No deadlines, owners, metrics, completion status, named deliverables, or quantified scope. Even the most concrete item ('more system tests with different HTTP versions') is framed in conditional/past-tense voice ('we should ... doing so could have revealed') rather than as a forward commitment.</x:v>
      </x:c>
    </x:row>
    <x:row r="28">
      <x:c r="A28" s="15" t="str">
        <x:v>mozilla_firefox_2022</x:v>
      </x:c>
      <x:c r="B28" s="15" t="str">
        <x:v>https://web.archive.org/web/20250314111052/https://hacks.mozilla.org/2022/02/retrospective-and-technical-details-on-the-recent-firefox-outage/</x:v>
      </x:c>
      <x:c r="C28" s="18" t="n">
        <x:v>6</x:v>
      </x:c>
      <x:c r="D28" s="15" t="str">
        <x:v>Stance Toward Harm Caused</x:v>
      </x:c>
      <x:c r="E28" s="15" t="str">
        <x:v>Recognition of Affected Parties</x:v>
      </x:c>
      <x:c r="F28" s="18" t="n">
        <x:v>1</x:v>
      </x:c>
      <x:c r="G28" s="15" t="str">
        <x:v>This incident interrupted many people's workflow ... We're grateful to all the users who have sent crash reports, worked with us in Bugzilla or helped others to work around the problem</x:v>
      </x:c>
      <x:c r="H28" s="15" t="str">
        <x:v>Mild acknowledgment of disruption ('interrupted many people's workflow') matches the rubric's Score-1 example ('users were disrupted'). Closing posture is gratitude/appreciation rather than apology. No 'sorry,' 'apologize,' 'ashamed,' 'take responsibility,' or restitution language anywhere in the post.</x:v>
      </x:c>
    </x:row>
    <x:row r="29">
      <x:c r="A29" s="15" t="str">
        <x:v>mozilla_firefox_2022</x:v>
      </x:c>
      <x:c r="B29" s="15" t="str">
        <x:v>https://web.archive.org/web/20250314111052/https://hacks.mozilla.org/2022/02/retrospective-and-technical-details-on-the-recent-firefox-outage/</x:v>
      </x:c>
      <x:c r="C29" s="18" t="n">
        <x:v>7</x:v>
      </x:c>
      <x:c r="D29" s="15" t="str">
        <x:v>Framing Subject</x:v>
      </x:c>
      <x:c r="E29" s="15" t="str">
        <x:v>Failure-Centered Framing</x:v>
      </x:c>
      <x:c r="F29" s="18" t="n">
        <x:v>1</x:v>
      </x:c>
      <x:c r="G29" s="15" t="str">
        <x:v>Retrospective and Technical Details on the recent Firefox Outage</x:v>
      </x:c>
      <x:c r="H29" s="15" t="str">
        <x:v>Title centers the outage itself as the subject. Opening sentence frames the post around the incident ('Firefox became unusable for close to two hours'), not around discourse, reports, or rumors.</x:v>
      </x:c>
    </x:row>
    <x:row r="30">
      <x:c r="A30" s="15" t="str">
        <x:v>heroku_2020_git_push</x:v>
      </x:c>
      <x:c r="B30" s="15" t="str">
        <x:v>https://www.heroku.com/blog/how-i-broke-git-push-heroku-main/</x:v>
      </x:c>
      <x:c r="C30" s="18" t="n">
        <x:v>1</x:v>
      </x:c>
      <x:c r="D30" s="15" t="str">
        <x:v>Quantification of User Impact</x:v>
      </x:c>
      <x:c r="E30" s="15" t="str">
        <x:v>Disclosure of Harm</x:v>
      </x:c>
      <x:c r="F30" s="18" t="n">
        <x:v>0</x:v>
      </x:c>
      <x:c r="G30" s="15" t="str">
        <x:v>The spike you can see on this graph is HTTP 401 responses ... Hence the 401s being sent back publicly</x:v>
      </x:c>
      <x:c r="H30" s="15" t="str">
        <x:v>Impact is described only qualitatively in the text: a 'spike,' some 'impacted processes,' '401s sent back publicly.' No quantified duration, request count, error rate, traffic share, customer count, or scope. A graph is referenced but no numbers are extracted into the prose.</x:v>
      </x:c>
    </x:row>
    <x:row r="31">
      <x:c r="A31" s="15" t="str">
        <x:v>heroku_2020_git_push</x:v>
      </x:c>
      <x:c r="B31" s="15" t="str">
        <x:v>https://www.heroku.com/blog/how-i-broke-git-push-heroku-main/</x:v>
      </x:c>
      <x:c r="C31" s="18" t="n">
        <x:v>2</x:v>
      </x:c>
      <x:c r="D31" s="15" t="str">
        <x:v>Internal-Awareness Timeline</x:v>
      </x:c>
      <x:c r="E31" s="15" t="str">
        <x:v>Temporal Answerability</x:v>
      </x:c>
      <x:c r="F31" s="18" t="n">
        <x:v>1</x:v>
      </x:c>
      <x:c r="G31" s="15" t="str">
        <x:v>On September 3, I had to deploy a change ... I went to lunch, but came back a few minutes later as an alert had gone off ... Once I realized that, I ran the script ... and the problem was resolved</x:v>
      </x:c>
      <x:c r="H31" s="15" t="str">
        <x:v>Partial timeline. A deploy date (September 3) is given and vague ordering describes detection ('came back a few minutes later as an alert had gone off') and mitigation ('Once I realized that, I ran the script'). No timestamps; reader cannot compute precise time-to-detect or time-to-mitigate.</x:v>
      </x:c>
    </x:row>
    <x:row r="32">
      <x:c r="A32" s="15" t="str">
        <x:v>heroku_2020_git_push</x:v>
      </x:c>
      <x:c r="B32" s="15" t="str">
        <x:v>https://www.heroku.com/blog/how-i-broke-git-push-heroku-main/</x:v>
      </x:c>
      <x:c r="C32" s="18" t="n">
        <x:v>3</x:v>
      </x:c>
      <x:c r="D32" s="15" t="str">
        <x:v>Causal Specificity / Agency</x:v>
      </x:c>
      <x:c r="E32" s="15" t="str">
        <x:v>Inspectable Causality</x:v>
      </x:c>
      <x:c r="F32" s="18" t="n">
        <x:v>2</x:v>
      </x:c>
      <x:c r="G32" s="15" t="str">
        <x:v>I set the new configuration variable in production, but didn't apply it to the instances. So my deploy to a batch of servers didn't have the new configuration variable, meaning we were making unauthenticated calls to a private API, which gave us 401 responses ... I ran the script to transmit the configuration variables to the instances, killed the impacted processes, which restarted using the updated configuration variables</x:v>
      </x:c>
      <x:c r="H32" s="15" t="str">
        <x:v>Names the specific component (Git server 'kernel app'), the specific deploy procedure (set var → transmit to instances → deploy code), the exact step omitted (transmit config variables to production instances), the resulting mechanism (unauthenticated calls to a private API → 401s), and the actor (the author, by name in the byline). Causal pathway is fully inspectable.</x:v>
      </x:c>
    </x:row>
    <x:row r="33">
      <x:c r="A33" s="15" t="str">
        <x:v>heroku_2020_git_push</x:v>
      </x:c>
      <x:c r="B33" s="15" t="str">
        <x:v>https://www.heroku.com/blog/how-i-broke-git-push-heroku-main/</x:v>
      </x:c>
      <x:c r="C33" s="18" t="n">
        <x:v>4</x:v>
      </x:c>
      <x:c r="D33" s="15" t="str">
        <x:v>Failure Enumeration</x:v>
      </x:c>
      <x:c r="E33" s="15" t="str">
        <x:v>Systemic Responsibility</x:v>
      </x:c>
      <x:c r="F33" s="18" t="n">
        <x:v>1</x:v>
      </x:c>
      <x:c r="G33" s="15" t="str">
        <x:v>The problem isn't that I forgot to run one command. It's that the system has allowed me to go forward with the deployment when it could have helped me avoid the issue ... Relying on humans to perform multiple manual actions, especially when some of them are only required rarely (we don't change configuration variables often) is a recipe for incidents</x:v>
      </x:c>
      <x:c r="H33" s="15" t="str">
        <x:v>Names 3–4 closely related contributing factors, predominantly procedural: the missed manual command, the absence of a system safeguard preventing deployment with unsynced config, the two-step (rather than one-step) deploy design, and skill-atrophy from rarely-used operations. The factors are tightly clustered around a single procedural failure rather than spanning a broader stack (e.g., no testing, monitoring, communication, or training factors are separately enumerated).</x:v>
      </x:c>
    </x:row>
    <x:row r="34">
      <x:c r="A34" s="15" t="str">
        <x:v>heroku_2020_git_push</x:v>
      </x:c>
      <x:c r="B34" s="15" t="str">
        <x:v>https://www.heroku.com/blog/how-i-broke-git-push-heroku-main/</x:v>
      </x:c>
      <x:c r="C34" s="18" t="n">
        <x:v>5</x:v>
      </x:c>
      <x:c r="D34" s="15" t="str">
        <x:v>Action Item Concreteness</x:v>
      </x:c>
      <x:c r="E34" s="15" t="str">
        <x:v>Verifiable Repair</x:v>
      </x:c>
      <x:c r="F34" s="18" t="n">
        <x:v>1</x:v>
      </x:c>
      <x:c r="G34" s="15" t="str">
        <x:v>we are going to merge the two steps of updating configuration variables and deploying code into a single step. That way there isn't an additional step to remember to run from time to time. If we didn't want or were unable to merge the two steps, we could also have added a safeguard in the form of a confirmation warning if we're trying to deploy the application's code while configuration variables aren't synchronized</x:v>
      </x:c>
      <x:c r="H34" s="15" t="str">
        <x:v>Names a concrete process change (merge config-update and code-deploy into one step) plus a concrete fallback (confirmation warning when config is out of sync). However, no deadline/ETA, no owner/team, no completion status, no metric, no acceptance criterion, and no count or scope are attached. The second item is also framed conditionally ('we could also have added').</x:v>
      </x:c>
    </x:row>
    <x:row r="35">
      <x:c r="A35" s="15" t="str">
        <x:v>heroku_2020_git_push</x:v>
      </x:c>
      <x:c r="B35" s="15" t="str">
        <x:v>https://www.heroku.com/blog/how-i-broke-git-push-heroku-main/</x:v>
      </x:c>
      <x:c r="C35" s="18" t="n">
        <x:v>6</x:v>
      </x:c>
      <x:c r="D35" s="15" t="str">
        <x:v>Stance Toward Harm Caused</x:v>
      </x:c>
      <x:c r="E35" s="15" t="str">
        <x:v>Recognition of Affected Parties</x:v>
      </x:c>
      <x:c r="F35" s="18" t="n">
        <x:v>0</x:v>
      </x:c>
      <x:c r="G35" s="15" t="str">
        <x:v>Yes, I messed up. But the fix is to improve the process, not to assign blame. We can't expect folks to be robots who never make mistakes.</x:v>
      </x:c>
      <x:c r="H35" s="15" t="str">
        <x:v>Personal responsibility is taken at the engineer level ('I messed up'), but there is no acknowledgment of customer/user harm — no apology, no 'sorry,' no recognition of customer disruption, no restitution. The post is framed mainly as an information-sharing reflection on blameless retrospective culture rather than as a recognition of affected parties. The 401s sent to customers are described as a technical event without explicit acknowledgment of customer impact.</x:v>
      </x:c>
    </x:row>
    <x:row r="36">
      <x:c r="A36" s="15" t="str">
        <x:v>heroku_2020_git_push</x:v>
      </x:c>
      <x:c r="B36" s="15" t="str">
        <x:v>https://www.heroku.com/blog/how-i-broke-git-push-heroku-main/</x:v>
      </x:c>
      <x:c r="C36" s="18" t="n">
        <x:v>7</x:v>
      </x:c>
      <x:c r="D36" s="15" t="str">
        <x:v>Framing Subject</x:v>
      </x:c>
      <x:c r="E36" s="15" t="str">
        <x:v>Failure-Centered Framing</x:v>
      </x:c>
      <x:c r="F36" s="18" t="n">
        <x:v>1</x:v>
      </x:c>
      <x:c r="G36" s="15" t="str">
        <x:v>How I Broke `git push heroku main`</x:v>
      </x:c>
      <x:c r="H36" s="15" t="str">
        <x:v>Title centers the failure (the broken deploy) as the subject. Opening section frames the post around explaining the incident itself, not around responding to customer reports, rumors, or external concerns.</x:v>
      </x:c>
    </x:row>
    <x:row r="37">
      <x:c r="A37" s="15" t="str">
        <x:v>azure_storage_2014</x:v>
      </x:c>
      <x:c r="B37" s="15" t="str">
        <x:v>https://azure.microsoft.com/en-us/blog/update-on-azure-storage-service-interruption/</x:v>
      </x:c>
      <x:c r="C37" s="18" t="n">
        <x:v>1</x:v>
      </x:c>
      <x:c r="D37" s="15" t="str">
        <x:v>Quantification of User Impact</x:v>
      </x:c>
      <x:c r="E37" s="15" t="str">
        <x:v>Disclosure of Harm</x:v>
      </x:c>
      <x:c r="F37" s="18" t="n">
        <x:v>2</x:v>
      </x:c>
      <x:c r="G37" s="15" t="str">
        <x:v>Incident Start Date and Time 11/19/2014 00:51:00 AM (UTC) ... Date and Time Service was Restored 11/19/2014 11:45:00 AM (UTC) ... Service(s) Impacted Azure Storage, Virtual Machines, SQL Geo-Restore, SQL Import/export, Websites, Azure Search, Azure Cache, Management Portal, Service Bus, Event Hubs, Visual Studio, Machine Learning, HDInsights, Automation, Virtual Network, Stream Analytics, Active Directory, StorSimple and Azure Backup Services ... Affected Regions ... Central US, East US, East US 2, North Central US, South Central US, West US, North Europe, West Europe, East Asia, Southeast Asia, Japan East, Japan West</x:v>
      </x:c>
      <x:c r="H37" s="15" t="str">
        <x:v>Impact is quantified across multiple dimensions: duration calculable from explicit start and end timestamps (~10h 54min), enumerated service scope (~18 named services impacted), and enumerated geographic scope (12 named regions). Customer count and traffic share remain qualitative ('a subset of customers,' 'most of customers'), but multiple dimensions of impact are concretely bounded.</x:v>
      </x:c>
    </x:row>
    <x:row r="38">
      <x:c r="A38" s="15" t="str">
        <x:v>azure_storage_2014</x:v>
      </x:c>
      <x:c r="B38" s="15" t="str">
        <x:v>https://azure.microsoft.com/en-us/blog/update-on-azure-storage-service-interruption/</x:v>
      </x:c>
      <x:c r="C38" s="18" t="n">
        <x:v>2</x:v>
      </x:c>
      <x:c r="D38" s="15" t="str">
        <x:v>Internal-Awareness Timeline</x:v>
      </x:c>
      <x:c r="E38" s="15" t="str">
        <x:v>Temporal Answerability</x:v>
      </x:c>
      <x:c r="F38" s="18" t="n">
        <x:v>1</x:v>
      </x:c>
      <x:c r="G38" s="15" t="str">
        <x:v>Incident Start Date and Time 11/19/2014 00:51:00 AM (UTC) ... Date and Time Service was Restored 11/19/2014 11:45:00 AM (UTC) ... Once we detected this issue, the change was rolled back promptly ... timely updates were not reflected for approximately the first three hours of the outage</x:v>
      </x:c>
      <x:c r="H38" s="15" t="str">
        <x:v>Partial timeline. Outer window is clearly bounded by explicit start (00:51 UTC) and restoration (11:45 UTC) timestamps. Internal events are vague — 'Once we detected this issue,' 'rolled back promptly,' 'approximately the first three hours' — so reader can compute total recovery duration but not time-to-detect, time-to-rollback, or detection-to-mitigation gap.</x:v>
      </x:c>
    </x:row>
    <x:row r="39">
      <x:c r="A39" s="15" t="str">
        <x:v>azure_storage_2014</x:v>
      </x:c>
      <x:c r="B39" s="15" t="str">
        <x:v>https://azure.microsoft.com/en-us/blog/update-on-azure-storage-service-interruption/</x:v>
      </x:c>
      <x:c r="C39" s="18" t="n">
        <x:v>3</x:v>
      </x:c>
      <x:c r="D39" s="15" t="str">
        <x:v>Causal Specificity / Agency</x:v>
      </x:c>
      <x:c r="E39" s="15" t="str">
        <x:v>Inspectable Causality</x:v>
      </x:c>
      <x:c r="F39" s="18" t="n">
        <x:v>2</x:v>
      </x:c>
      <x:c r="G39" s="15" t="str">
        <x:v>This interruption was due to a bug that got triggered when a configuration change in the Azure Storage Front End component was made, resulting in the inability of the Blob Front-Ends to take traffic ... The configuration change had been introduced as part of an Azure Storage update to improve performance as well as reducing the CPU footprint for the Azure Table Front-Ends ... The configuration change for the Blob Front-Ends exposed a bug in the Blob Front-Ends, which had been previously performing as expected for the Table Front-Ends. This bug resulted in the Blob Front-Ends to go into an infinite loop</x:v>
      </x:c>
      <x:c r="H39" s="15" t="str">
        <x:v>Names the specific component (Azure Storage Blob Front-Ends), the contrasting component that flighted cleanly (Table Front-Ends), the change type (configuration change for CPU-footprint reduction), the failure mode (infinite loop preventing traffic intake), the recovery requirement (restart needed because rollback alone wouldn't refresh config), and the procedural failure ('operational error' rolling to most regions instead of incremental batches). Causal pathway is fully inspectable.</x:v>
      </x:c>
    </x:row>
    <x:row r="40">
      <x:c r="A40" s="15" t="str">
        <x:v>azure_storage_2014</x:v>
      </x:c>
      <x:c r="B40" s="15" t="str">
        <x:v>https://azure.microsoft.com/en-us/blog/update-on-azure-storage-service-interruption/</x:v>
      </x:c>
      <x:c r="C40" s="18" t="n">
        <x:v>4</x:v>
      </x:c>
      <x:c r="D40" s="15" t="str">
        <x:v>Failure Enumeration</x:v>
      </x:c>
      <x:c r="E40" s="15" t="str">
        <x:v>Systemic Responsibility</x:v>
      </x:c>
      <x:c r="F40" s="18" t="n">
        <x:v>2</x:v>
      </x:c>
      <x:c r="G40" s="15" t="str">
        <x:v>the update was made across most regions in a short period of time due to operational error, instead of following the standard protocol of applying production changes in incremental batches ... the Blob Front-Ends had entered into an infinite loop triggered by the update, and couldn't refresh the configuration without a restart ... There was an Azure infrastructure issue that impacted our ability to provide timely updates via the Service Health Dashboard ... Downstream support tools that had dependency on the Service Health Dashboard and Management Portal were also impacted, limiting customers to create new support cases during the early phase of the outage, and our ability to update to impacted customers was delayed due to high case volumes</x:v>
      </x:c>
      <x:c r="H40" s="15" t="str">
        <x:v>Enumerates 5+ contributing factors across multiple categories: (1) Blob Front-End bug (technical), (2) flighting only covered Table Front-Ends (testing gap), (3) operational error in rollout pattern (procedural/rollout failure), (4) infinite loop required restart for recovery (technical/recovery design), (5) Service Health Dashboard dependency on affected infrastructure (monitoring/communication gap), (6) downstream support tools dependent on Dashboard (support gap), (7) high case volumes delayed customer updates (support capacity gap). Includes testing, rollout, communication, and support failures.</x:v>
      </x:c>
    </x:row>
    <x:row r="41">
      <x:c r="A41" s="15" t="str">
        <x:v>azure_storage_2014</x:v>
      </x:c>
      <x:c r="B41" s="15" t="str">
        <x:v>https://azure.microsoft.com/en-us/blog/update-on-azure-storage-service-interruption/</x:v>
      </x:c>
      <x:c r="C41" s="18" t="n">
        <x:v>5</x:v>
      </x:c>
      <x:c r="D41" s="15" t="str">
        <x:v>Action Item Concreteness</x:v>
      </x:c>
      <x:c r="E41" s="15" t="str">
        <x:v>Verifiable Repair</x:v>
      </x:c>
      <x:c r="F41" s="18" t="n">
        <x:v>1</x:v>
      </x:c>
      <x:c r="G41" s="15" t="str">
        <x:v>Ensure that the deployment tools enforce the standard protocol of applying production changes in incremental batches is always followed. Improve the recovery methods to minimize the time to recovery. Fix the infinite loop bug in the CPU reduction improvement from the Blob Front-Ends before it is rolled out into production. Improve Service Health Dashboard Infrastructure and protocols.</x:v>
      </x:c>
      <x:c r="H41" s="15" t="str">
        <x:v>Names concrete technical and process changes (deployment-tool enforcement of incremental batches, bug fix in CPU-reduction code path, Service Health Dashboard improvements, recovery-method improvements). The bug-fix item carries an implicit acceptance criterion ('before it is rolled out into production'). However, no deadlines/ETAs, no named owners or teams, no completion status, no metrics or measurable acceptance conditions for the other items, and no quantified scope.</x:v>
      </x:c>
    </x:row>
    <x:row r="42">
      <x:c r="A42" s="15" t="str">
        <x:v>azure_storage_2014</x:v>
      </x:c>
      <x:c r="B42" s="15" t="str">
        <x:v>https://azure.microsoft.com/en-us/blog/update-on-azure-storage-service-interruption/</x:v>
      </x:c>
      <x:c r="C42" s="18" t="n">
        <x:v>6</x:v>
      </x:c>
      <x:c r="D42" s="15" t="str">
        <x:v>Stance Toward Harm Caused</x:v>
      </x:c>
      <x:c r="E42" s="15" t="str">
        <x:v>Recognition of Affected Parties</x:v>
      </x:c>
      <x:c r="F42" s="18" t="n">
        <x:v>2</x:v>
      </x:c>
      <x:c r="G42" s="15" t="str">
        <x:v>We apologize for the impact and inconvenience this has caused.</x:v>
      </x:c>
      <x:c r="H42" s="15" t="str">
        <x:v>Explicit apology language ('We apologize for the impact and inconvenience this has caused') matches the rubric's Score-2 example verbatim. Recognition of customer impact is named explicitly.</x:v>
      </x:c>
    </x:row>
    <x:row r="43">
      <x:c r="A43" s="15" t="str">
        <x:v>azure_storage_2014</x:v>
      </x:c>
      <x:c r="B43" s="15" t="str">
        <x:v>https://azure.microsoft.com/en-us/blog/update-on-azure-storage-service-interruption/</x:v>
      </x:c>
      <x:c r="C43" s="18" t="n">
        <x:v>7</x:v>
      </x:c>
      <x:c r="D43" s="15" t="str">
        <x:v>Framing Subject</x:v>
      </x:c>
      <x:c r="E43" s="15" t="str">
        <x:v>Failure-Centered Framing</x:v>
      </x:c>
      <x:c r="F43" s="18" t="n">
        <x:v>1</x:v>
      </x:c>
      <x:c r="G43" s="15" t="str">
        <x:v>Update on Azure Storage Service Interruption</x:v>
      </x:c>
      <x:c r="H43" s="15" t="str">
        <x:v>Title centers the service interruption itself as the subject. Opening section frames the post around what happened during the outage rather than around external reports, customer concerns, or rumors.</x:v>
      </x:c>
    </x:row>
    <x:row r="44">
      <x:c r="A44" s="15" t="str">
        <x:v>rust_dns_2023</x:v>
      </x:c>
      <x:c r="B44" s="15" t="str">
        <x:v>https://blog.rust-lang.org/inside-rust/2023/02/08/dns-outage-portmortem/</x:v>
      </x:c>
      <x:c r="C44" s="18" t="n">
        <x:v>1</x:v>
      </x:c>
      <x:c r="D44" s="15" t="str">
        <x:v>Quantification of User Impact</x:v>
      </x:c>
      <x:c r="E44" s="15" t="str">
        <x:v>Disclosure of Harm</x:v>
      </x:c>
      <x:c r="F44" s="18" t="n">
        <x:v>1</x:v>
      </x:c>
      <x:c r="G44" s="15" t="str">
        <x:v>the DNS record for static.crates.io failed to resolve for an estimated time of 10-15 minutes. Users experienced build failures during this time, because crates could not be downloaded ... For some users, the outage lasted a few minutes longer due to caches in their DNS server</x:v>
      </x:c>
      <x:c r="H44" s="15" t="str">
        <x:v>One quantified dimension provided: duration estimated at 10–15 minutes (with extra time for some users due to DNS caching). Other impact dimensions remain qualitative: no count of affected users, no request volume, no failure rate, no traffic share, and no breakdown of how many users hit cached DNS. Matches the rubric's Score-1 description of 'duration only, or one isolated count, without scope/magnitude.'</x:v>
      </x:c>
    </x:row>
    <x:row r="45">
      <x:c r="A45" s="15" t="str">
        <x:v>rust_dns_2023</x:v>
      </x:c>
      <x:c r="B45" s="15" t="str">
        <x:v>https://blog.rust-lang.org/inside-rust/2023/02/08/dns-outage-portmortem/</x:v>
      </x:c>
      <x:c r="C45" s="18" t="n">
        <x:v>2</x:v>
      </x:c>
      <x:c r="D45" s="15" t="str">
        <x:v>Internal-Awareness Timeline</x:v>
      </x:c>
      <x:c r="E45" s="15" t="str">
        <x:v>Temporal Answerability</x:v>
      </x:c>
      <x:c r="F45" s="18" t="n">
        <x:v>2</x:v>
      </x:c>
      <x:c r="G45" s="15" t="str">
        <x:v>On Wednesday, 2023-01-25 at 09:15 UTC, we deployed changes to the production infrastructure for crates.io ... Around 9:30 UTC, the DNS record started to get propagated again and by 9:40 UTC traffic had returned to normal levels ... Terraform first removed the current certificate and DNS records. It then started to issue a new certificate, which took around 10 minutes</x:v>
      </x:c>
      <x:c r="H45" s="15" t="str">
        <x:v>Explicit minute-resolution timeline: deploy start (09:15 UTC), DNS propagation resumption (~09:30 UTC), full traffic recovery (09:40 UTC), and the bounded ~10-minute certificate-issuance window inside the deploy. Reader can compute outage duration (~15 min) and full-recovery duration (~25 min) as well as the internal cert-issuance gap.</x:v>
      </x:c>
    </x:row>
    <x:row r="46">
      <x:c r="A46" s="15" t="str">
        <x:v>rust_dns_2023</x:v>
      </x:c>
      <x:c r="B46" s="15" t="str">
        <x:v>https://blog.rust-lang.org/inside-rust/2023/02/08/dns-outage-portmortem/</x:v>
      </x:c>
      <x:c r="C46" s="18" t="n">
        <x:v>3</x:v>
      </x:c>
      <x:c r="D46" s="15" t="str">
        <x:v>Causal Specificity / Agency</x:v>
      </x:c>
      <x:c r="E46" s="15" t="str">
        <x:v>Inspectable Causality</x:v>
      </x:c>
      <x:c r="F46" s="18" t="n">
        <x:v>2</x:v>
      </x:c>
      <x:c r="G46" s="15" t="str">
        <x:v>The Rust infrastructure is managed with Terraform ... The deployment to production contained two changes that were developed, deployed, and tested individually on staging: a new TLS certificate for the current Content Delivery Network and updated DNS records. When we deployed this configuration to production, Terraform first removed the current certificate and DNS records. It then started to issue a new certificate, which took around 10 minutes. During this time, there was no DNS record for static.crates.io</x:v>
      </x:c>
      <x:c r="H46" s="15" t="str">
        <x:v>Names the specific tool (Terraform), the responsible team (Infrastructure team), the affected DNS record (static.crates.io), the two bundled changes (TLS certificate + DNS records), the exact failure-causing sequence (destroy old cert/DNS → issue new cert taking ~10 min → recreate DNS), and the procedural decision (deploying both changes together rather than individually). Causal pathway is fully inspectable.</x:v>
      </x:c>
    </x:row>
    <x:row r="47">
      <x:c r="A47" s="15" t="str">
        <x:v>rust_dns_2023</x:v>
      </x:c>
      <x:c r="B47" s="15" t="str">
        <x:v>https://blog.rust-lang.org/inside-rust/2023/02/08/dns-outage-portmortem/</x:v>
      </x:c>
      <x:c r="C47" s="18" t="n">
        <x:v>4</x:v>
      </x:c>
      <x:c r="D47" s="15" t="str">
        <x:v>Failure Enumeration</x:v>
      </x:c>
      <x:c r="E47" s="15" t="str">
        <x:v>Systemic Responsibility</x:v>
      </x:c>
      <x:c r="F47" s="18" t="n">
        <x:v>2</x:v>
      </x:c>
      <x:c r="G47" s="15" t="str">
        <x:v>This was one of the first times that we used the new tooling around environments to deploy changes to production. One of its features is that the production environment is locked to a specific Git commit ... the deployment applied multiple changes simultaneously ... Another way to look at this is that production and staging diverged too much over time, because we did not deploy the changes when we merged them into the main branch ... given the importance of crates.io to the Rust ecosystem, we were hesitant to deploy multiple times without announcing the changes to the community first ... We need to document the process of deploying changes to production</x:v>
      </x:c>
      <x:c r="H47" s="15" t="str">
        <x:v>Enumerates 5+ contributing factors across categories: (1) Terraform's destroy-then-create order for cert/DNS (technical/tooling), (2) bundling two unrelated changes in one deploy (procedural), (3) Git-commit-locking pulled in multiple merged changes at once (tooling/procedural), (4) drift between staging and production from delayed deploys (procedural), (5) hesitancy to deploy frequently without community announcement (communication/procedural), (6) lack of documented production-deploy process (training/documentation gap), (7) unfamiliarity with the new environment tooling (training). Spans technical, procedural, communication, and documentation/training failures.</x:v>
      </x:c>
    </x:row>
    <x:row r="48">
      <x:c r="A48" s="15" t="str">
        <x:v>rust_dns_2023</x:v>
      </x:c>
      <x:c r="B48" s="15" t="str">
        <x:v>https://blog.rust-lang.org/inside-rust/2023/02/08/dns-outage-portmortem/</x:v>
      </x:c>
      <x:c r="C48" s="18" t="n">
        <x:v>5</x:v>
      </x:c>
      <x:c r="D48" s="15" t="str">
        <x:v>Action Item Concreteness</x:v>
      </x:c>
      <x:c r="E48" s="15" t="str">
        <x:v>Verifiable Repair</x:v>
      </x:c>
      <x:c r="F48" s="18" t="n">
        <x:v>1</x:v>
      </x:c>
      <x:c r="G48" s="15" t="str">
        <x:v>We need to document the process of deploying changes to production, in particular how to pick the Git commit and how to review the changeset ... Changes that have been developed and tested in isolation on staging should be deployed individually and in sequence to production. We need to add this to the documentation. When we merge changes into the main branch, we need to ensure that they get deployed to production as well.</x:v>
      </x:c>
      <x:c r="H48" s="15" t="str">
        <x:v>Names concrete process changes (production-deploy documentation including commit-selection and changeset-review, sequential per-change deployment policy, deploy-on-merge policy to prevent staging/production drift). However, all three items are framed as 'we need to' commitments without deadlines/ETAs, owners, completion status, metrics, named deliverables beyond 'documentation,' or acceptance criteria.</x:v>
      </x:c>
    </x:row>
    <x:row r="49">
      <x:c r="A49" s="15" t="str">
        <x:v>rust_dns_2023</x:v>
      </x:c>
      <x:c r="B49" s="15" t="str">
        <x:v>https://blog.rust-lang.org/inside-rust/2023/02/08/dns-outage-portmortem/</x:v>
      </x:c>
      <x:c r="C49" s="18" t="n">
        <x:v>6</x:v>
      </x:c>
      <x:c r="D49" s="15" t="str">
        <x:v>Stance Toward Harm Caused</x:v>
      </x:c>
      <x:c r="E49" s="15" t="str">
        <x:v>Recognition of Affected Parties</x:v>
      </x:c>
      <x:c r="F49" s="18" t="n">
        <x:v>1</x:v>
      </x:c>
      <x:c r="G49" s="15" t="str">
        <x:v>Users experienced build failures during this time, because crates could not be downloaded ... For some users, the outage lasted a few minutes longer due to caches in their DNS server</x:v>
      </x:c>
      <x:c r="H49" s="15" t="str">
        <x:v>Mild/implicit acknowledgment of user disruption ('Users experienced build failures'), which closely matches the rubric's Score-1 example 'users were disrupted.' No apology, no 'sorry,' no responsibility language, no remorse, and no restitution. Acknowledgment is purely factual rather than affective.</x:v>
      </x:c>
    </x:row>
    <x:row r="50">
      <x:c r="A50" s="15" t="str">
        <x:v>rust_dns_2023</x:v>
      </x:c>
      <x:c r="B50" s="15" t="str">
        <x:v>https://blog.rust-lang.org/inside-rust/2023/02/08/dns-outage-portmortem/</x:v>
      </x:c>
      <x:c r="C50" s="18" t="n">
        <x:v>7</x:v>
      </x:c>
      <x:c r="D50" s="15" t="str">
        <x:v>Framing Subject</x:v>
      </x:c>
      <x:c r="E50" s="15" t="str">
        <x:v>Failure-Centered Framing</x:v>
      </x:c>
      <x:c r="F50" s="18" t="n">
        <x:v>1</x:v>
      </x:c>
      <x:c r="G50" s="15" t="str">
        <x:v>DNS Outage on 2023-01-25</x:v>
      </x:c>
      <x:c r="H50" s="15" t="str">
        <x:v>Title centers the outage itself as the subject. Opening sentence frames the post around the deploy and the outage rather than around discourse, complaints, or external reports.</x:v>
      </x:c>
    </x:row>
    <x:row r="51">
      <x:c r="A51" s="15" t="str">
        <x:v>atlassian_2022_april_outage</x:v>
      </x:c>
      <x:c r="B51" s="15" t="str">
        <x:v>https://www.atlassian.com/blog/atlassian-engineering/post-incident-review-april-2022-outage</x:v>
      </x:c>
      <x:c r="C51" s="18" t="n">
        <x:v>1</x:v>
      </x:c>
      <x:c r="D51" s="15" t="str">
        <x:v>Quantification of User Impact</x:v>
      </x:c>
      <x:c r="E51" s="15" t="str">
        <x:v>Disclosure of Harm</x:v>
      </x:c>
      <x:c r="F51" s="18" t="n">
        <x:v>2</x:v>
      </x:c>
      <x:c r="G51" s="15" t="str">
        <x:v>On Tuesday, April 5th, 2022, starting at 7:38 UTC, 775 Atlassian customers lost access to their Atlassian products. The outage spanned up to 14 days for a subset of these customers, with the first set of customers being restored on April 8th and all customer sites progressively restored by April 18th ... Although this was a major incident, no customer lost more than five minutes of data. In addition, over 99.6% of our customers and users continued to use our cloud products without any disruption ... 883 sites (representing 775 customers) ... Restoration 1 ... 53% of impacted users across 112 sites ... Restoration 2 ... 47% of impacted users across 771 sites</x:v>
      </x:c>
      <x:c r="H51" s="15" t="str">
        <x:v>Impact is quantified across many dimensions: affected customer count (775), affected site count (883), duration range (up to 14 days, with restoration phases dated April 8–18), data-loss bound (≤5 min), unaffected-user share (99.6%), recovery-batch breakdown (53% of users / 112 sites in Restoration 1; 47% / 771 sites in Restoration 2), exception count (57 customers with deeper data loss), and enumerated affected products (Jira family, Confluence, Atlassian Access, Opsgenie, Statuspage).</x:v>
      </x:c>
    </x:row>
    <x:row r="52">
      <x:c r="A52" s="15" t="str">
        <x:v>atlassian_2022_april_outage</x:v>
      </x:c>
      <x:c r="B52" s="15" t="str">
        <x:v>https://www.atlassian.com/blog/atlassian-engineering/post-incident-review-april-2022-outage</x:v>
      </x:c>
      <x:c r="C52" s="18" t="n">
        <x:v>2</x:v>
      </x:c>
      <x:c r="D52" s="15" t="str">
        <x:v>Internal-Awareness Timeline</x:v>
      </x:c>
      <x:c r="E52" s="15" t="str">
        <x:v>Temporal Answerability</x:v>
      </x:c>
      <x:c r="F52" s="18" t="n">
        <x:v>2</x:v>
      </x:c>
      <x:c r="G52" s="15" t="str">
        <x:v>The script started running on April 5th at 07:38 UTC and was completed at 08:01 UTC ... The first support ticket was created by an impacted customer at 07:46 UTC ... At 08:17 UTC, we triggered our major incident management process ... in seven minutes, at 08:24 UTC, it had been escalated to Critical. At 08:53 UTC, our team confirmed that the customer support ticket and the script run were related ... we assigned our highest level of severity to the incident at 12:38 UTC ... we implemented a code freeze across all of engineering for the duration of the incident on April 8th at 03:30 UTC</x:v>
      </x:c>
      <x:c r="H52" s="15" t="str">
        <x:v>Explicit minute-resolution timeline across the entire 14-day event: script start/end (07:38/08:01), first ticket (07:46), incident triggered (08:17), escalation to Critical (08:24), root cause identified (08:53), highest severity (12:38), Statuspage updates (09:03, 11:13), tweet (April 7 00:56), email apology (April 8 01:50), code freeze (April 8 03:30), recovery phase boundaries (April 14, April 17, April 18). Reader can compute every gap including time-to-detect (~39 min), time-to-cause-confirmed (~75 min from start), and recovery-phase durations.</x:v>
      </x:c>
    </x:row>
    <x:row r="53">
      <x:c r="A53" s="15" t="str">
        <x:v>atlassian_2022_april_outage</x:v>
      </x:c>
      <x:c r="B53" s="15" t="str">
        <x:v>https://www.atlassian.com/blog/atlassian-engineering/post-incident-review-april-2022-outage</x:v>
      </x:c>
      <x:c r="C53" s="18" t="n">
        <x:v>3</x:v>
      </x:c>
      <x:c r="D53" s="15" t="str">
        <x:v>Causal Specificity / Agency</x:v>
      </x:c>
      <x:c r="E53" s="15" t="str">
        <x:v>Inspectable Causality</x:v>
      </x:c>
      <x:c r="F53" s="18" t="n">
        <x:v>2</x:v>
      </x:c>
      <x:c r="G53" s="15" t="str">
        <x:v>In 2021, we completed the acquisition and integration of a standalone Atlassian app for Jira Service Management and Jira Software called 'Insight – Asset Management' ... There was a communication gap between the team that requested the deletion and the team that ran the deletion. Instead of providing the IDs of the intended app being marked for deletion, the team provided the IDs of the entire cloud site where the apps were to be deleted ... The API used to perform the deletion accepted both site and app identifiers and assumed the input was correct ... The script that was executed followed our standard peer-review process that focused on which endpoint was being called and how. It did not cross-check the provided cloud site IDs to validate whether they referred to the Insight App or to the entire site</x:v>
      </x:c>
      <x:c r="H53" s="15" t="str">
        <x:v>Names the specific app (Insight – Asset Management), the acquisition context, the two responsible teams (requesting and executing), the precise communication failure (site IDs supplied instead of app IDs), the API design flaw (no warning to disambiguate site vs app deletion), the review-process scope (endpoint/method but not input validation), the staging/production environment difference, and the exact run profile (initial 30-site success then 883-site failure run between 07:38–08:01 UTC). Causal pathway is fully inspectable.</x:v>
      </x:c>
    </x:row>
    <x:row r="54">
      <x:c r="A54" s="15" t="str">
        <x:v>atlassian_2022_april_outage</x:v>
      </x:c>
      <x:c r="B54" s="15" t="str">
        <x:v>https://www.atlassian.com/blog/atlassian-engineering/post-incident-review-april-2022-outage</x:v>
      </x:c>
      <x:c r="C54" s="18" t="n">
        <x:v>4</x:v>
      </x:c>
      <x:c r="D54" s="15" t="str">
        <x:v>Failure Enumeration</x:v>
      </x:c>
      <x:c r="E54" s="15" t="str">
        <x:v>Systemic Responsibility</x:v>
      </x:c>
      <x:c r="F54" s="18" t="n">
        <x:v>2</x:v>
      </x:c>
      <x:c r="G54" s="15" t="str">
        <x:v>Communication gap ... Insufficient system warnings ... The script was tested in Staging per our standard change management processes, however, it would not have detected that the IDs input were incorrect as the IDs did not exist in the Staging environment ... Our internal monitoring did not detect an issue because the sites were deleted via a standard workflow ... the site-level deletion did not have runbooks that could be quickly automated for the scale of this event ... the same script that deleted customer sites also deleted key customer identifiers and contact information ... we did not have an incident communications playbook thorough enough to deal with this level of complexity ... For 57 customers ... a lack of consistent policies and manual retrieval of database backup snapshots resulted in some Confluence and Insight databases being restored to a point more than five minutes prior to site deletion</x:v>
      </x:c>
      <x:c r="H54" s="15" t="str">
        <x:v>Enumerates 5+ contributing factors across many categories: (1) inter-team communication gap (organizational), (2) API safety design (no site-vs-app disambiguation), (3) peer-review scope limited to endpoint/method (process), (4) Staging didn't carry production IDs (testing gap), (5) monitoring didn't fire because deletes were via standard workflow (monitoring gap), (6) no multi-site multi-product DR runbook (DR program gap), (7) deleted customer contacts blocked support intake (data architecture/support), (8) no large-scale incident-management playbook (process), (9) no large-scale incident-comms playbook (communication), (10) inconsistent restore-point policies for 57 customers (operational consistency).</x:v>
      </x:c>
    </x:row>
    <x:row r="55">
      <x:c r="A55" s="15" t="str">
        <x:v>atlassian_2022_april_outage</x:v>
      </x:c>
      <x:c r="B55" s="15" t="str">
        <x:v>https://www.atlassian.com/blog/atlassian-engineering/post-incident-review-april-2022-outage</x:v>
      </x:c>
      <x:c r="C55" s="18" t="n">
        <x:v>5</x:v>
      </x:c>
      <x:c r="D55" s="15" t="str">
        <x:v>Action Item Concreteness</x:v>
      </x:c>
      <x:c r="E55" s="15" t="str">
        <x:v>Verifiable Repair</x:v>
      </x:c>
      <x:c r="F55" s="18" t="n">
        <x:v>2</x:v>
      </x:c>
      <x:c r="G55" s="15" t="str">
        <x:v>We have immediately blocked bulk sites deletes until appropriate changes can be made ... Implement a 'soft delete' in the provisioning workflows and all relevant data stores: Additionally, the Tenant Platform team will verify that data deletions can only happen after deactivations ... Enforce staged rollout of any soft-delete actions: All new operations that require deletion will first be tested within our own sites to validate our approach ... Soft-delete actions must have a tested rollback plan ... Accelerate multi-product, multi-site restorations for a larger set of customers: DR program meets our current RPO standards of one hour. We will leverage the automation and learnings from this incident to accelerate the DR program to meet the RTO ... We will regularly run DR exercises that involve restoring all products for large set of sites ... Conduct a quarterly audit to verify readiness at all times ... Use the DACI framework for incidents and have 24/7 back-ups for each role</x:v>
      </x:c>
      <x:c r="H55" s="15" t="str">
        <x:v>Most action items pair a concrete change with at least two verifiability signals: completed status ('immediately blocked bulk sites deletes'), named owner (Tenant Platform team), named deliverables (soft-delete workflows, DR program acceleration, large-scale incident playbook, unified escalation system, contact-backup mechanism, support-tooling retrofit, 24/7 escalation coverage), acceptance criteria (test in own sites first, tested rollback plan, meet RTO targets, no production deletion without prior soft-delete), cadences (quarterly audit, regular DR exercises, regular simulations), named frameworks (DACI), and scope (each major geographic region for 24/7 coverage). Calendar-date deadlines are absent, but the bundle of other signals carries falsifiability.</x:v>
      </x:c>
    </x:row>
    <x:row r="56">
      <x:c r="A56" s="15" t="str">
        <x:v>atlassian_2022_april_outage</x:v>
      </x:c>
      <x:c r="B56" s="15" t="str">
        <x:v>https://www.atlassian.com/blog/atlassian-engineering/post-incident-review-april-2022-outage</x:v>
      </x:c>
      <x:c r="C56" s="18" t="n">
        <x:v>6</x:v>
      </x:c>
      <x:c r="D56" s="15" t="str">
        <x:v>Stance Toward Harm Caused</x:v>
      </x:c>
      <x:c r="E56" s="15" t="str">
        <x:v>Recognition of Affected Parties</x:v>
      </x:c>
      <x:c r="F56" s="18" t="n">
        <x:v>2</x:v>
      </x:c>
      <x:c r="G56" s="15" t="str">
        <x:v>We want to acknowledge the outage that disrupted service for customers earlier this month. We understand that our products are mission critical to your business, and we don't take that responsibility lightly. The buck stops with us. Full stop. For those customers affected, we are working to regain your trust ... On April 8th at 1:50 UTC, Atlassian emailed affected customers an apology from co-founder and co-CEO, Scott Farquhar</x:v>
      </x:c>
      <x:c r="H56" s="15" t="str">
        <x:v>Multiple Score-2 prongs are met: explicit responsibility ('The buck stops with us. Full stop.'), explicit recognition of customer harm and mission-critical impact, and a referenced direct apology from a co-CEO sent to affected customers. Trust-restoration commitment frames the response toward affected parties rather than information-sharing alone.</x:v>
      </x:c>
    </x:row>
    <x:row r="57">
      <x:c r="A57" s="15" t="str">
        <x:v>atlassian_2022_april_outage</x:v>
      </x:c>
      <x:c r="B57" s="15" t="str">
        <x:v>https://www.atlassian.com/blog/atlassian-engineering/post-incident-review-april-2022-outage</x:v>
      </x:c>
      <x:c r="C57" s="18" t="n">
        <x:v>7</x:v>
      </x:c>
      <x:c r="D57" s="15" t="str">
        <x:v>Framing Subject</x:v>
      </x:c>
      <x:c r="E57" s="15" t="str">
        <x:v>Failure-Centered Framing</x:v>
      </x:c>
      <x:c r="F57" s="18" t="n">
        <x:v>1</x:v>
      </x:c>
      <x:c r="G57" s="15" t="str">
        <x:v>Post-Incident Review on the Atlassian April 2022 outage</x:v>
      </x:c>
      <x:c r="H57" s="15" t="str">
        <x:v>Title centers the outage and the post-incident review as the subject — closely matching the rubric's Score-1 example 'Incident postmortem.' Opening recounts the engineering record, not a response to discourse, complaints, or external reports.</x:v>
      </x:c>
    </x:row>
    <x:row r="58">
      <x:c r="A58" s="15" t="str">
        <x:v>aws_s3_2008</x:v>
      </x:c>
      <x:c r="B58" s="15" t="str">
        <x:v>https://web.archive.org/web/20220403060108/https://status.aws.amazon.com/s3-20080720.html</x:v>
      </x:c>
      <x:c r="C58" s="18" t="n">
        <x:v>1</x:v>
      </x:c>
      <x:c r="D58" s="15" t="str">
        <x:v>Quantification of User Impact</x:v>
      </x:c>
      <x:c r="E58" s="15" t="str">
        <x:v>Disclosure of Harm</x:v>
      </x:c>
      <x:c r="F58" s="18" t="n">
        <x:v>2</x:v>
      </x:c>
      <x:c r="G58" s="15" t="str">
        <x:v>At 8:40am PDT, error rates in all Amazon S3 datacenters began to quickly climb ... By 8:50am PDT, error rates were significantly elevated and very few requests were completing successfully ... The EU location came back online before the US because there are fewer servers in the EU. By 3:10pm PDT, request rates and error rates in the EU had returned to normal. At 4:02pm PDT, Amazon S3's US location began successfully completing customer requests, and request rates and error rates had returned to normal by 4:58pm PDT</x:v>
      </x:c>
      <x:c r="H58" s="15" t="str">
        <x:v>Impact is quantified across multiple dimensions: total duration computable from precise timestamps (~8h 18min for US, ~6h 30min for EU), service scope ('all Amazon S3 datacenters'), geographic scope (US and EU regions named with separate recovery profiles), and magnitude described as full failure of request processing. Direct user/request counts and error-rate percentages are not given, but multi-dimensional scope is concretely bounded.</x:v>
      </x:c>
    </x:row>
    <x:row r="59">
      <x:c r="A59" s="15" t="str">
        <x:v>aws_s3_2008</x:v>
      </x:c>
      <x:c r="B59" s="15" t="str">
        <x:v>https://web.archive.org/web/20220403060108/https://status.aws.amazon.com/s3-20080720.html</x:v>
      </x:c>
      <x:c r="C59" s="18" t="n">
        <x:v>2</x:v>
      </x:c>
      <x:c r="D59" s="15" t="str">
        <x:v>Internal-Awareness Timeline</x:v>
      </x:c>
      <x:c r="E59" s="15" t="str">
        <x:v>Temporal Answerability</x:v>
      </x:c>
      <x:c r="F59" s="18" t="n">
        <x:v>2</x:v>
      </x:c>
      <x:c r="G59" s="15" t="str">
        <x:v>At 8:40am PDT, error rates in all Amazon S3 datacenters began to quickly climb and our alarms went off. By 8:50am PDT, error rates were significantly elevated ... By 8:55am PDT, we had multiple engineers engaged ... At 9:41am PDT, we determined that servers within Amazon S3 were having problems communicating ... At 10:32am PDT, after exploring several options, we determined that we needed to shut down all communication ... By 11:05am PDT, all server-to-server communication was stopped ... By 2:20pm PDT, we'd restored internal communication ... At 2:57pm PDT, Amazon S3's EU location began successfully completing customer requests ... by 4:58pm PDT</x:v>
      </x:c>
      <x:c r="H59" s="15" t="str">
        <x:v>Explicit minute-resolution timeline covering eleven distinct events: detection (08:40), error escalation (08:50), engineering engagement (08:55), root-cause hypothesis (09:41), mitigation decision (10:32), full shutdown (11:05), state restoration (14:20), EU partial recovery (14:57), EU full normalization (15:10), US partial recovery (16:02), US full normalization (16:58). Reader can compute time-to-detect, time-to-diagnose (~61 min), time-to-mitigation-decision (~112 min), and full-recovery duration.</x:v>
      </x:c>
    </x:row>
    <x:row r="60">
      <x:c r="A60" s="15" t="str">
        <x:v>aws_s3_2008</x:v>
      </x:c>
      <x:c r="B60" s="15" t="str">
        <x:v>https://web.archive.org/web/20220403060108/https://status.aws.amazon.com/s3-20080720.html</x:v>
      </x:c>
      <x:c r="C60" s="18" t="n">
        <x:v>3</x:v>
      </x:c>
      <x:c r="D60" s="15" t="str">
        <x:v>Causal Specificity / Agency</x:v>
      </x:c>
      <x:c r="E60" s="15" t="str">
        <x:v>Inspectable Causality</x:v>
      </x:c>
      <x:c r="F60" s="18" t="n">
        <x:v>2</x:v>
      </x:c>
      <x:c r="G60" s="15" t="str">
        <x:v>Amazon S3 uses a gossip protocol to quickly spread server state information throughout the system ... we saw a large number of servers that were spending almost all of their time gossiping and a disproportionate amount of servers that had failed while gossiping ... message corruption was the cause of the server-to-server communication problems. More specifically, we found that there were a handful of messages on Sunday morning that had a single bit corrupted such that the message was still intelligible, but the system state information was incorrect. We use MD5 checksums throughout the system, for example, to prevent, detect, and recover from corruption ... However, we didn't have the same protection in place to detect whether this particular internal state information had been corrupted</x:v>
      </x:c>
      <x:c r="H60" s="15" t="str">
        <x:v>Names the specific protocol (gossip), the specific corruption type (single-bit, message-still-intelligible), the existing protection class (MD5 checksums on customer object I/O), and the precise protection gap (no equivalent checksum on internal state messages). Spread mechanism is also named (gossip amplification of corrupted state). Causal pathway is fully inspectable down to the bit-level failure mode.</x:v>
      </x:c>
    </x:row>
    <x:row r="61">
      <x:c r="A61" s="15" t="str">
        <x:v>aws_s3_2008</x:v>
      </x:c>
      <x:c r="B61" s="15" t="str">
        <x:v>https://web.archive.org/web/20220403060108/https://status.aws.amazon.com/s3-20080720.html</x:v>
      </x:c>
      <x:c r="C61" s="18" t="n">
        <x:v>4</x:v>
      </x:c>
      <x:c r="D61" s="15" t="str">
        <x:v>Failure Enumeration</x:v>
      </x:c>
      <x:c r="E61" s="15" t="str">
        <x:v>Systemic Responsibility</x:v>
      </x:c>
      <x:c r="F61" s="18" t="n">
        <x:v>1</x:v>
      </x:c>
      <x:c r="G61" s="15" t="str">
        <x:v>there were a handful of messages on Sunday morning that had a single bit corrupted such that the message was still intelligible ... we didn't have the same protection in place to detect whether this particular internal state information had been corrupted ... when the corruption occurred, we didn't detect it and it spread throughout the system ... We hadn't encountered server-to-server communication issues of this scale before and, as a result, it took some time during the event to diagnose and recover from it</x:v>
      </x:c>
      <x:c r="H61" s="15" t="str">
        <x:v>Names 3–4 closely related contributing factors clustered around the gossip protocol: (1) single-bit message corruption, (2) corruption produced an 'intelligible' but invalid message that bypassed any sanity check, (3) absence of checksums on internal state messages, (4) gossip-protocol amplification of bad state, (5) novelty of this failure class slowing diagnosis. Factors are mostly technical/architectural; no separately enumerated testing, rollout, communication, training, or organizational failures.</x:v>
      </x:c>
    </x:row>
    <x:row r="62">
      <x:c r="A62" s="15" t="str">
        <x:v>aws_s3_2008</x:v>
      </x:c>
      <x:c r="B62" s="15" t="str">
        <x:v>https://web.archive.org/web/20220403060108/https://status.aws.amazon.com/s3-20080720.html</x:v>
      </x:c>
      <x:c r="C62" s="18" t="n">
        <x:v>5</x:v>
      </x:c>
      <x:c r="D62" s="15" t="str">
        <x:v>Action Item Concreteness</x:v>
      </x:c>
      <x:c r="E62" s="15" t="str">
        <x:v>Verifiable Repair</x:v>
      </x:c>
      <x:c r="F62" s="18" t="n">
        <x:v>2</x:v>
      </x:c>
      <x:c r="G62" s="15" t="str">
        <x:v>(a) we've deployed several changes to Amazon S3 that significantly reduce the amount of time required to completely restore system-wide state and restart customer request processing; (b) we've deployed a change to how Amazon S3 gossips about failed servers that reduces the amount of gossip and helps prevent the behavior we experienced on Sunday; (c) we've added additional monitoring and alarming of gossip rates and failures; and, (d) we're adding checksums to proactively detect corruption of system state messages so we can log any such messages and then reject them</x:v>
      </x:c>
      <x:c r="H62" s="15" t="str">
        <x:v>All four action items pair a concrete change with at least two verifiability signals. Three carry completion status ('we've deployed,' 'we've added') and one is in-progress ('we're adding'); each names a specific deliverable: faster state-restoration code path, modified gossip protocol for failed servers, gossip-rate/failure monitoring and alarming, and state-message checksums with log-and-reject acceptance criterion. The fourth item also includes a clear acceptance criterion ('log any such messages and then reject them'). Specific calendar deadlines are absent but are not needed where completion is already attested.</x:v>
      </x:c>
    </x:row>
    <x:row r="63">
      <x:c r="A63" s="15" t="str">
        <x:v>aws_s3_2008</x:v>
      </x:c>
      <x:c r="B63" s="15" t="str">
        <x:v>https://web.archive.org/web/20220403060108/https://status.aws.amazon.com/s3-20080720.html</x:v>
      </x:c>
      <x:c r="C63" s="18" t="n">
        <x:v>6</x:v>
      </x:c>
      <x:c r="D63" s="15" t="str">
        <x:v>Stance Toward Harm Caused</x:v>
      </x:c>
      <x:c r="E63" s="15" t="str">
        <x:v>Recognition of Affected Parties</x:v>
      </x:c>
      <x:c r="F63" s="18" t="n">
        <x:v>1</x:v>
      </x:c>
      <x:c r="G63" s="15" t="str">
        <x:v>Though we're proud of our operational performance in operating Amazon S3 for almost 2.5 years, we know that any downtime is unacceptable and we won't be satisfied until performance is statistically indistinguishable from perfect</x:v>
      </x:c>
      <x:c r="H63" s="15" t="str">
        <x:v>Mild/implicit acknowledgment of disruption ('any downtime is unacceptable') sets a high standard but is not phrased as recognition of customer harm. No 'sorry,' no 'we apologize,' no 'we take responsibility,' no remorse, no restitution, and no named recognition of impact on customers' work. The closing leans toward operational-pride framing rather than affective acknowledgment of affected parties.</x:v>
      </x:c>
    </x:row>
    <x:row r="64">
      <x:c r="A64" s="15" t="str">
        <x:v>aws_s3_2008</x:v>
      </x:c>
      <x:c r="B64" s="15" t="str">
        <x:v>https://web.archive.org/web/20220403060108/https://status.aws.amazon.com/s3-20080720.html</x:v>
      </x:c>
      <x:c r="C64" s="18" t="n">
        <x:v>7</x:v>
      </x:c>
      <x:c r="D64" s="15" t="str">
        <x:v>Framing Subject</x:v>
      </x:c>
      <x:c r="E64" s="15" t="str">
        <x:v>Failure-Centered Framing</x:v>
      </x:c>
      <x:c r="F64" s="18" t="n">
        <x:v>1</x:v>
      </x:c>
      <x:c r="G64" s="15" t="str">
        <x:v>Amazon S3 Availability Event: July 20, 2008</x:v>
      </x:c>
      <x:c r="H64" s="15" t="str">
        <x:v>Title centers the availability event itself as the subject. Opening sentence frames the post around 'the problem we experienced,' not around external reports, complaints, or discourse.</x:v>
      </x:c>
    </x:row>
    <x:row r="65">
      <x:c r="A65" s="15" t="str">
        <x:v>discord_connectivity_2017</x:v>
      </x:c>
      <x:c r="B65" s="15" t="str">
        <x:v>https://discordstatus.com/incidents/dj3l6lw926kl</x:v>
      </x:c>
      <x:c r="C65" s="18" t="n">
        <x:v>1</x:v>
      </x:c>
      <x:c r="D65" s="15" t="str">
        <x:v>Quantification of User Impact</x:v>
      </x:c>
      <x:c r="E65" s="15" t="str">
        <x:v>Disclosure of Harm</x:v>
      </x:c>
      <x:c r="F65" s="18" t="n">
        <x:v>2</x:v>
      </x:c>
      <x:c r="G65" s="15" t="str">
        <x:v>this caused 1/3rd of all connected sessions on Discord to effectively stall ... this incident caused around 40 20-30 second lockups ... The effect of millions of processes reconnecting quickly overloaded the remaining presence servers ... our services took under 16 minutes to reconnect millions of concurrent Discord users</x:v>
      </x:c>
      <x:c r="H65" s="15" t="str">
        <x:v>Impact is quantified across multiple dimensions: affected-user share (1/3 of all connected sessions), user-base scale (millions of concurrent users), failure-event count and duration (~40 lockups of 20–30 seconds each), and dual-outage durations computable from precise timestamps (~2h 18min for the first event, ~1h 48min for the second). Status updates list two distinct outage phases with bounded recovery.</x:v>
      </x:c>
    </x:row>
    <x:row r="66">
      <x:c r="A66" s="15" t="str">
        <x:v>discord_connectivity_2017</x:v>
      </x:c>
      <x:c r="B66" s="15" t="str">
        <x:v>https://discordstatus.com/incidents/dj3l6lw926kl</x:v>
      </x:c>
      <x:c r="C66" s="18" t="n">
        <x:v>2</x:v>
      </x:c>
      <x:c r="D66" s="15" t="str">
        <x:v>Internal-Awareness Timeline</x:v>
      </x:c>
      <x:c r="E66" s="15" t="str">
        <x:v>Temporal Answerability</x:v>
      </x:c>
      <x:c r="F66" s="18" t="n">
        <x:v>2</x:v>
      </x:c>
      <x:c r="G66" s="15" t="str">
        <x:v>At 11:38 ... a server for one of the internal services (presence) ... disconnected ... At 11:39 Discord engineers notice a dramatic degradation ... By 11:50 ... members of the sessions cluster began to OOM ... At 12:30 ... engineers work on two code patches ... At 13:35 rollout of the aforementioned API patches has completed ... At 13:41 engineers globally disable sending messages ... By 13:56 service has mostly recovered ... At 14:52 the presence server ... yet again experiences a series of CPU soft-locks ... At 16:10 the issue with the presence service is isolated ... By 16:40 service is mostly recovered</x:v>
      </x:c>
      <x:c r="H66" s="15" t="str">
        <x:v>Explicit minute-resolution timeline across both outage phases covering ~20 distinct events: trigger, detection, OOM start, support paged, patch development, patch rollout, message-send disable, reboot decision, recovery, second trigger, second detection, isolation, second reboot, second recovery, and status-page updates throughout. Reader can compute time-to-detect (~1 min), time-to-mitigate, and recovery durations for each phase.</x:v>
      </x:c>
    </x:row>
    <x:row r="67">
      <x:c r="A67" s="15" t="str">
        <x:v>discord_connectivity_2017</x:v>
      </x:c>
      <x:c r="B67" s="15" t="str">
        <x:v>https://discordstatus.com/incidents/dj3l6lw926kl</x:v>
      </x:c>
      <x:c r="C67" s="18" t="n">
        <x:v>3</x:v>
      </x:c>
      <x:c r="D67" s="15" t="str">
        <x:v>Causal Specificity / Agency</x:v>
      </x:c>
      <x:c r="E67" s="15" t="str">
        <x:v>Inspectable Causality</x:v>
      </x:c>
      <x:c r="F67" s="18" t="n">
        <x:v>2</x:v>
      </x:c>
      <x:c r="G67" s="15" t="str">
        <x:v>the CPU soft lockups that we observed on the individual presence server ... Although we had previously seen these CPU soft lockups on other servers and services, this incident caused around 40 20-30 second lockups ... we had previously opened an issue which Google has actively been investigating, they've escalated it to P0 ... due to a bug that was fixed but not yet deployed, the presence cluster did not properly handle the lost node, and instead caused the entire cluster to split brain ... The failure of the individual presence node caused all the Erlang processes living in our session service to attempt a reconnection</x:v>
      </x:c>
      <x:c r="H67" s="15" t="str">
        <x:v>Names the two specific internal services (presence, sessions), the runtime (Erlang), the vendor layer (GCP hypervisor), the precise failure mechanism (CPU soft-lockups → presence netsplit → sessions thundering-herd reconnects → in-memory event-queue OOM), the named latent bug (split-brain handling fixed but undeployed), the named architectural dependency (sessions implicitly depending on presence), and the GCP issue tracker escalation (P0). Causal pathway is fully inspectable.</x:v>
      </x:c>
    </x:row>
    <x:row r="68">
      <x:c r="A68" s="15" t="str">
        <x:v>discord_connectivity_2017</x:v>
      </x:c>
      <x:c r="B68" s="15" t="str">
        <x:v>https://discordstatus.com/incidents/dj3l6lw926kl</x:v>
      </x:c>
      <x:c r="C68" s="18" t="n">
        <x:v>4</x:v>
      </x:c>
      <x:c r="D68" s="15" t="str">
        <x:v>Failure Enumeration</x:v>
      </x:c>
      <x:c r="E68" s="15" t="str">
        <x:v>Systemic Responsibility</x:v>
      </x:c>
      <x:c r="F68" s="18" t="n">
        <x:v>2</x:v>
      </x:c>
      <x:c r="G68" s="15" t="str">
        <x:v>the CPU soft lockups that we observed on the individual presence server ... due to a bug that was fixed but not yet deployed, the presence cluster did not properly handle the lost node ... Due to an implicit requirement in sessions on data in presence ... The events and messages for these connections quickly filled the in-memory buffers of our session servers and caused many of them to run out of memory and fail ... Due to the way Erlang works, the throughput and contention on these servers also prevented our engineers from being able to thoroughly investigate or mitigate these effects ... Due to an issue in newly deployed configuration code, the process of creating and deploying these patches takes longer than expected</x:v>
      </x:c>
      <x:c r="H68" s="15" t="str">
        <x:v>Enumerates 5+ contributing factors across categories: (1) GCP hypervisor CPU soft-lockups (vendor/infrastructure), (2) split-brain fix existed but was undeployed (deployment lag/process), (3) implicit sessions→presence dependency (architectural), (4) thundering-herd reconnection without backoff (architectural), (5) unbounded in-memory event buffer (safety-design), (6) Erlang runtime contention obstructing diagnostics (tooling/diagnostic gap), (7) bug in newly added configuration code slowing patch rollout (deployment/process), (8) absence of automated detection for CPU soft-lockups (monitoring gap), (9) no hard limit and no fast-fail on cross-service dependency (safety-design).</x:v>
      </x:c>
    </x:row>
    <x:row r="69">
      <x:c r="A69" s="15" t="str">
        <x:v>discord_connectivity_2017</x:v>
      </x:c>
      <x:c r="B69" s="15" t="str">
        <x:v>https://discordstatus.com/incidents/dj3l6lw926kl</x:v>
      </x:c>
      <x:c r="C69" s="18" t="n">
        <x:v>5</x:v>
      </x:c>
      <x:c r="D69" s="15" t="str">
        <x:v>Action Item Concreteness</x:v>
      </x:c>
      <x:c r="E69" s="15" t="str">
        <x:v>Verifiable Repair</x:v>
      </x:c>
      <x:c r="F69" s="18" t="n">
        <x:v>2</x:v>
      </x:c>
      <x:c r="G69" s="15" t="str">
        <x:v>During the outage, engineers were able to roll out upgrades to our presence server (which had previously been untouched for almost a year). These changes fix the split-brain bug previously mentioned ... We've added a hard limit to the number of in-flight connections from our sessions cluster to our presence server, and have also added a fast-fail mechanism to this dependency which should prevent a cascading failure like this from occurring in the future ... These changes were deployed at 1AM on Tuesday ... we're actively working with Google Cloud Platform's hypervisor team ... We're working on adding additional tooling which should help automate the process of detecting and alerting around anomalous and hard to track problems like CPU soft lockups</x:v>
      </x:c>
      <x:c r="H69" s="15" t="str">
        <x:v>Most action items pair a concrete change with at least two verifiability signals: completion status ('rolled out,' 'added,' 'deployed'), specific deploy timestamp ('1AM on Tuesday'), named deliverables (split-brain fix, hard connection limit, fast-fail mechanism, anomaly-detection tooling, GCP hypervisor escalation), acceptance criterion ('should prevent a cascading failure like this from occurring'), and identified counterparty (Google Cloud Platform hypervisor team). Mix of completed and in-progress items.</x:v>
      </x:c>
    </x:row>
    <x:row r="70">
      <x:c r="A70" s="15" t="str">
        <x:v>discord_connectivity_2017</x:v>
      </x:c>
      <x:c r="B70" s="15" t="str">
        <x:v>https://discordstatus.com/incidents/dj3l6lw926kl</x:v>
      </x:c>
      <x:c r="C70" s="18" t="n">
        <x:v>6</x:v>
      </x:c>
      <x:c r="D70" s="15" t="str">
        <x:v>Stance Toward Harm Caused</x:v>
      </x:c>
      <x:c r="E70" s="15" t="str">
        <x:v>Recognition of Affected Parties</x:v>
      </x:c>
      <x:c r="F70" s="18" t="n">
        <x:v>2</x:v>
      </x:c>
      <x:c r="G70" s="15" t="str">
        <x:v>We're extremely sorry for the issues anyone using our service experienced Monday ... We apologize for the trouble and inconvenience that this issue has caused ... Apologies for the outage</x:v>
      </x:c>
      <x:c r="H70" s="15" t="str">
        <x:v>Multiple explicit apologies in the postmortem and across status-page updates. The opening uses intensified remorse language ('extremely sorry') and the standard apology pattern ('We apologize for the trouble and inconvenience'). Recognition of affected parties is named explicitly ('anyone using our service').</x:v>
      </x:c>
    </x:row>
    <x:row r="71">
      <x:c r="A71" s="15" t="str">
        <x:v>discord_connectivity_2017</x:v>
      </x:c>
      <x:c r="B71" s="15" t="str">
        <x:v>https://discordstatus.com/incidents/dj3l6lw926kl</x:v>
      </x:c>
      <x:c r="C71" s="18" t="n">
        <x:v>7</x:v>
      </x:c>
      <x:c r="D71" s="15" t="str">
        <x:v>Framing Subject</x:v>
      </x:c>
      <x:c r="E71" s="15" t="str">
        <x:v>Failure-Centered Framing</x:v>
      </x:c>
      <x:c r="F71" s="18" t="n">
        <x:v>1</x:v>
      </x:c>
      <x:c r="G71" s="15" t="str">
        <x:v>Connectivity Issues ... INCIDENT REPORT FOR DISCORD ... Postmortem</x:v>
      </x:c>
      <x:c r="H71" s="15" t="str">
        <x:v>Title centers the connectivity failure itself, with a 'Postmortem' subheading that closely matches the rubric's Score-1 example. Opening sentences frame the post around the engineering record and the apology, not around external reports, complaints, or discourse.</x:v>
      </x:c>
    </x:row>
    <x:row r="72">
      <x:c r="A72" s="15" t="str">
        <x:v>github_ddos_2018</x:v>
      </x:c>
      <x:c r="B72" s="15" t="str">
        <x:v>https://github.blog/news-insights/company-news/ddos-incident-report/</x:v>
      </x:c>
      <x:c r="C72" s="18" t="n">
        <x:v>1</x:v>
      </x:c>
      <x:c r="D72" s="15" t="str">
        <x:v>Quantification of User Impact</x:v>
      </x:c>
      <x:c r="E72" s="15" t="str">
        <x:v>Disclosure of Harm</x:v>
      </x:c>
      <x:c r="F72" s="18" t="n">
        <x:v>1</x:v>
      </x:c>
      <x:c r="G72" s="15" t="str">
        <x:v>GitHub.com was unavailable from 17:21 to 17:26 UTC and intermittently unavailable from 17:26 to 17:30 UTC due to a distributed denial-of-service (DDoS) attack ... peaked at 1.35Tbps via 126.9 million packets per second</x:v>
      </x:c>
      <x:c r="H72" s="15" t="str">
        <x:v>Duration of user-facing impact is precisely quantified across two phases (5 min full unavailability + 4 min intermittent). However, other user-impact dimensions are absent: no affected-user count, no request failure rate, no traffic share lost, no geographic breakdown. The 1.35Tbps and 126.9M pps figures quantify the attack, not user impact. Service scope is binary all-of-GitHub.com without further dimensioning. Matches the rubric's Score-1 description of duration plus a single isolated metric.</x:v>
      </x:c>
    </x:row>
    <x:row r="73">
      <x:c r="A73" s="15" t="str">
        <x:v>github_ddos_2018</x:v>
      </x:c>
      <x:c r="B73" s="15" t="str">
        <x:v>https://github.blog/news-insights/company-news/ddos-incident-report/</x:v>
      </x:c>
      <x:c r="C73" s="18" t="n">
        <x:v>2</x:v>
      </x:c>
      <x:c r="D73" s="15" t="str">
        <x:v>Internal-Awareness Timeline</x:v>
      </x:c>
      <x:c r="E73" s="15" t="str">
        <x:v>Temporal Answerability</x:v>
      </x:c>
      <x:c r="F73" s="18" t="n">
        <x:v>2</x:v>
      </x:c>
      <x:c r="G73" s="15" t="str">
        <x:v>At 17:21 UTC our network monitoring system detected an anomaly in the ratio of ingress to egress traffic and notified the on-call engineer ... At 17:26 UTC the command was initiated via our ChatOps tooling to withdraw BGP announcements over transit providers and announce AS36459 exclusively over our links to Akamai ... Monitoring of transit bandwidth levels and load balancer response codes indicated a full recovery at 17:30 UTC. At 17:34 UTC routes to internet exchanges were withdrawn ... a second 400Gbps spike a little after 18:00 UTC</x:v>
      </x:c>
      <x:c r="H73" s="15" t="str">
        <x:v>Explicit minute-resolution timeline covering detection (17:21), mitigation initiation (17:26), full recovery (17:30), follow-up route withdrawal (17:34), and the second-spike timing (~18:00). Reader can compute time-to-detect (immediate via monitoring), detection-to-mitigation (5 min), and mitigation-to-recovery (4 min).</x:v>
      </x:c>
    </x:row>
    <x:row r="74">
      <x:c r="A74" s="15" t="str">
        <x:v>github_ddos_2018</x:v>
      </x:c>
      <x:c r="B74" s="15" t="str">
        <x:v>https://github.blog/news-insights/company-news/ddos-incident-report/</x:v>
      </x:c>
      <x:c r="C74" s="18" t="n">
        <x:v>3</x:v>
      </x:c>
      <x:c r="D74" s="15" t="str">
        <x:v>Causal Specificity / Agency</x:v>
      </x:c>
      <x:c r="E74" s="15" t="str">
        <x:v>Inspectable Causality</x:v>
      </x:c>
      <x:c r="F74" s="18" t="n">
        <x:v>2</x:v>
      </x:c>
      <x:c r="G74" s="15" t="str">
        <x:v>an amplification vector using memcached over UDP in their blog post this week, 'Memcrashed – Major amplification attacks from UDP port 11211' ... the amplification factor is up to 51,000 ... It was an amplification attack using the memcached-based approach described above that peaked at 1.35Tbps via 126.9 million packets per second ... the command was initiated via our ChatOps tooling to withdraw BGP announcements over transit providers and announce AS36459 exclusively over our links to Akamai. Routes reconverged in the next few minutes and access control lists mitigated the attack at their border</x:v>
      </x:c>
      <x:c r="H74" s="15" t="str">
        <x:v>Names the specific attack class (memcached UDP amplification), specific port (11211), specific amplification factor (51,000x), specific source spread (1000+ ASNs across tens of thousands of endpoints), specific monitoring signal (ingress-to-egress ratio anomaly), specific mitigation actions (BGP withdrawal, AS36459 reannouncement via Akamai), and specific tooling (ChatOps). Causal pathway and mitigation pathway are both fully inspectable.</x:v>
      </x:c>
    </x:row>
    <x:row r="75">
      <x:c r="A75" s="15" t="str">
        <x:v>github_ddos_2018</x:v>
      </x:c>
      <x:c r="B75" s="15" t="str">
        <x:v>https://github.blog/news-insights/company-news/ddos-incident-report/</x:v>
      </x:c>
      <x:c r="C75" s="18" t="n">
        <x:v>4</x:v>
      </x:c>
      <x:c r="D75" s="15" t="str">
        <x:v>Failure Enumeration</x:v>
      </x:c>
      <x:c r="E75" s="15" t="str">
        <x:v>Systemic Responsibility</x:v>
      </x:c>
      <x:c r="F75" s="18" t="n">
        <x:v>1</x:v>
      </x:c>
      <x:c r="G75" s="15" t="str">
        <x:v>attacks like this sometimes require the help of partners with larger transit networks to provide blocking and filtering ... Making GitHub's edge infrastructure more resilient to current and future conditions of the internet and less dependent upon human involvement requires better automated intervention ... We're investigating the use of our monitoring infrastructure to automate enabling DDoS mitigation providers and will continue to measure our response times to incidents like this with a goal of reducing mean time to recovery (MTTR)</x:v>
      </x:c>
      <x:c r="H75" s="15" t="str">
        <x:v>Names 2–3 internal contributing factors implicitly: (1) edge transit capacity below the volumetric scale of the attack, (2) manual/human-dependent mitigation rather than automated failover to a DDoS provider, (3) detection-to-mitigation latency. Factors are presented mostly as 'next steps' rather than as a structured enumeration of what went wrong, and procedural, testing, communication, or organizational failures are not separately named. Below the 5+ threshold for Score 2.</x:v>
      </x:c>
    </x:row>
    <x:row r="76">
      <x:c r="A76" s="15" t="str">
        <x:v>github_ddos_2018</x:v>
      </x:c>
      <x:c r="B76" s="15" t="str">
        <x:v>https://github.blog/news-insights/company-news/ddos-incident-report/</x:v>
      </x:c>
      <x:c r="C76" s="18" t="n">
        <x:v>5</x:v>
      </x:c>
      <x:c r="D76" s="15" t="str">
        <x:v>Action Item Concreteness</x:v>
      </x:c>
      <x:c r="E76" s="15" t="str">
        <x:v>Verifiable Repair</x:v>
      </x:c>
      <x:c r="F76" s="18" t="n">
        <x:v>0</x:v>
      </x:c>
      <x:c r="G76" s="15" t="str">
        <x:v>We're investigating the use of our monitoring infrastructure to automate enabling DDoS mitigation providers and will continue to measure our response times to incidents like this with a goal of reducing mean time to recovery (MTTR). We're going to continue to expand our edge network and strive to identify and mitigate new attack vectors before they affect your workflow on GitHub.com ... build better detection systems, and streamline response</x:v>
      </x:c>
      <x:c r="H76" s="15" t="str">
        <x:v>Action items closely match the rubric's Score-0 examples: 'investigating,' 'continue to measure,' 'continue to expand,' 'strive to identify and mitigate,' 'build better detection systems,' 'streamline response.' No deadlines, owners, metrics, completion status, named deliverables (beyond the generic 'monitoring infrastructure'), acceptance criteria, or quantified scope. The MTTR target is named as a goal but no number is attached.</x:v>
      </x:c>
    </x:row>
    <x:row r="77">
      <x:c r="A77" s="15" t="str">
        <x:v>github_ddos_2018</x:v>
      </x:c>
      <x:c r="B77" s="15" t="str">
        <x:v>https://github.blog/news-insights/company-news/ddos-incident-report/</x:v>
      </x:c>
      <x:c r="C77" s="18" t="n">
        <x:v>6</x:v>
      </x:c>
      <x:c r="D77" s="15" t="str">
        <x:v>Stance Toward Harm Caused</x:v>
      </x:c>
      <x:c r="E77" s="15" t="str">
        <x:v>Recognition of Affected Parties</x:v>
      </x:c>
      <x:c r="F77" s="18" t="n">
        <x:v>2</x:v>
      </x:c>
      <x:c r="G77" s="15" t="str">
        <x:v>We are sorry for the impact of this incident ... We know how much you rely on GitHub for your projects and businesses to succeed</x:v>
      </x:c>
      <x:c r="H77" s="15" t="str">
        <x:v>Explicit apology language ('We are sorry') matches the rubric's Score-2 example verbatim. Recognition of customer impact is stated, with named acknowledgment of the customer use case ('your projects and businesses').</x:v>
      </x:c>
    </x:row>
    <x:row r="78">
      <x:c r="A78" s="15" t="str">
        <x:v>github_ddos_2018</x:v>
      </x:c>
      <x:c r="B78" s="15" t="str">
        <x:v>https://github.blog/news-insights/company-news/ddos-incident-report/</x:v>
      </x:c>
      <x:c r="C78" s="18" t="n">
        <x:v>7</x:v>
      </x:c>
      <x:c r="D78" s="15" t="str">
        <x:v>Framing Subject</x:v>
      </x:c>
      <x:c r="E78" s="15" t="str">
        <x:v>Failure-Centered Framing</x:v>
      </x:c>
      <x:c r="F78" s="18" t="n">
        <x:v>1</x:v>
      </x:c>
      <x:c r="G78" s="15" t="str">
        <x:v>February 28th DDoS Incident Report</x:v>
      </x:c>
      <x:c r="H78" s="15" t="str">
        <x:v>Title centers the DDoS incident itself as the subject — closely matching the rubric's Score-1 example 'DDoS incident report.' Opening sentence frames the post around the unavailability event, not around discourse, complaints, or external reports.</x:v>
      </x:c>
    </x:row>
    <x:row r="79">
      <x:c r="A79" s="15" t="str">
        <x:v>gitlab_database_2017</x:v>
      </x:c>
      <x:c r="B79" s="15" t="str">
        <x:v>https://about.gitlab.com/blog/postmortem-of-database-outage-of-january-31/</x:v>
      </x:c>
      <x:c r="C79" s="18" t="n">
        <x:v>1</x:v>
      </x:c>
      <x:c r="D79" s="15" t="str">
        <x:v>Quantification of User Impact</x:v>
      </x:c>
      <x:c r="E79" s="15" t="str">
        <x:v>Disclosure of Harm</x:v>
      </x:c>
      <x:c r="F79" s="18" t="n">
        <x:v>2</x:v>
      </x:c>
      <x:c r="G79" s="15" t="str">
        <x:v>This incident caused the GitLab.com service to be unavailable for many hours. We also lost some production data that we were eventually unable to recover. Specifically, we lost modifications to database data such as projects, comments, user accounts, issues and snippets, that took place between 17:20 and 00:00 UTC on January 31. Our best estimate is that it affected roughly 5,000 projects, 5,000 comments and 700 new user accounts ... around 300 GB of data had already been removed ... GitLab.com was down for about 18 hours ... self-managed instances or GitHost instances were not affected</x:v>
      </x:c>
      <x:c r="H79" s="15" t="str">
        <x:v>Impact is quantified across many dimensions: outage duration (~18 hours), data-loss window bounded by timestamps (17:20–00:00 UTC, ~6h 40min), specific data-loss counts (~5,000 projects, ~5,000 comments, ~700 user accounts), wipe magnitude (~300 GB), service scope (GitLab.com only), and explicit non-affected scope (Enterprise, GitHost, self-managed unaffected).</x:v>
      </x:c>
    </x:row>
    <x:row r="80">
      <x:c r="A80" s="15" t="str">
        <x:v>gitlab_database_2017</x:v>
      </x:c>
      <x:c r="B80" s="15" t="str">
        <x:v>https://about.gitlab.com/blog/postmortem-of-database-outage-of-january-31/</x:v>
      </x:c>
      <x:c r="C80" s="18" t="n">
        <x:v>2</x:v>
      </x:c>
      <x:c r="D80" s="15" t="str">
        <x:v>Internal-Awareness Timeline</x:v>
      </x:c>
      <x:c r="E80" s="15" t="str">
        <x:v>Temporal Answerability</x:v>
      </x:c>
      <x:c r="F80" s="18" t="n">
        <x:v>2</x:v>
      </x:c>
      <x:c r="G80" s="15" t="str">
        <x:v>± 17:20 UTC: prior to starting this work, our engineer took an LVM snapshot of the production database ... ± 19:00 UTC: GitLab.com starts experiencing an increase in database load ... ± 23:00 UTC: Due to the increased load, our PostgreSQL secondary's replication process started to lag behind ... ± 23:30 UTC: one of the engineers thinks that perhaps pg_basebackup created some files ... an engineer proceeds to wipe the PostgreSQL database directory, errantly thinking they were doing so on the secondary ... On February 1st at 17:00 UTC we managed to restore the GitLab.com database without webhooks ... Around 18:00 UTC we finished the final restoration procedures</x:v>
      </x:c>
      <x:c r="H80" s="15" t="str">
        <x:v>Explicit timeline covering LVM-snapshot creation (17:20 UTC), load-spike onset (19:00 UTC), replication lag (23:00 UTC), the mistaken wipe (~23:30 UTC), database restored without webhooks (Feb 1 17:00 UTC), and final restoration with webhooks (Feb 1 18:00 UTC). Reader can compute every meaningful gap including time-from-mistake to recovery (~17.5h).</x:v>
      </x:c>
    </x:row>
    <x:row r="81">
      <x:c r="A81" s="15" t="str">
        <x:v>gitlab_database_2017</x:v>
      </x:c>
      <x:c r="B81" s="15" t="str">
        <x:v>https://about.gitlab.com/blog/postmortem-of-database-outage-of-january-31/</x:v>
      </x:c>
      <x:c r="C81" s="18" t="n">
        <x:v>3</x:v>
      </x:c>
      <x:c r="D81" s="15" t="str">
        <x:v>Causal Specificity / Agency</x:v>
      </x:c>
      <x:c r="E81" s="15" t="str">
        <x:v>Inspectable Causality</x:v>
      </x:c>
      <x:c r="F81" s="18" t="n">
        <x:v>2</x:v>
      </x:c>
      <x:c r="G81" s="15" t="str">
        <x:v>an engineer proceeds to wipe the PostgreSQL database directory, errantly thinking they were doing so on the secondary. Unfortunately this process was executed on the primary instead. The engineer terminated the process a second or two after noticing their mistake, but at this point around 300 GB of data had already been removed ... the backup procedure was using pg_dump 9.2, while our database is running PostgreSQL 9.6 ... A difference in major versions results in pg_dump producing an error, terminating the backup procedure ... While notifications are enabled for any cronjobs that error, these notifications are sent by email. For GitLab.com we use DMARC. Unfortunately DMARC was not enabled for the cronjob emails, resulting in them being rejected</x:v>
      </x:c>
      <x:c r="H81" s="15" t="str">
        <x:v>Names every link in the causal chain at artifact level: hosts (db1/db2.cluster.gitlab.com), tools (pg_basebackup, pg_dump, LVM, Azure disk snapshots, Omnibus), exact misconfiguration (max_wal_senders=3, max_connections=8000), the version mismatch (pg_dump 9.2 vs PostgreSQL 9.6), the silent-failure path (DMARC-rejected cron emails), the precise mistake (rm of primary data directory while believing it was the secondary), and the magnitude (~300 GB removed before termination). Causal pathway is fully inspectable.</x:v>
      </x:c>
    </x:row>
    <x:row r="82">
      <x:c r="A82" s="15" t="str">
        <x:v>gitlab_database_2017</x:v>
      </x:c>
      <x:c r="B82" s="15" t="str">
        <x:v>https://about.gitlab.com/blog/postmortem-of-database-outage-of-january-31/</x:v>
      </x:c>
      <x:c r="C82" s="18" t="n">
        <x:v>4</x:v>
      </x:c>
      <x:c r="D82" s="15" t="str">
        <x:v>Failure Enumeration</x:v>
      </x:c>
      <x:c r="E82" s="15" t="str">
        <x:v>Systemic Responsibility</x:v>
      </x:c>
      <x:c r="F82" s="18" t="n">
        <x:v>2</x:v>
      </x:c>
      <x:c r="G82" s="15" t="str">
        <x:v>To analyse the root cause of these problems we'll use a technique called 'The 5 Whys'. We'll break up the incident into 2 main problems: GitLab.com being down, and it taking a long time to restore GitLab.com ... Why was the database directory removed? - Database replication stopped, requiring the secondary to be reset/rebuilt. This in turn requires that the PostgreSQL data directory is empty. Restoring this required manual work as this was not automated, nor was it documented properly ... Why could we not use the standard backup procedure? - The standard backup procedure uses pg_dump to perform a logical backup of the database. This procedure failed silently because it was using PostgreSQL 9.2, while GitLab.com runs on PostgreSQL 9.6 ... Why was the backup procedure not tested on a regular basis? - Because there was no ownership, as a result nobody was responsible for testing this procedure</x:v>
      </x:c>
      <x:c r="H82" s="15" t="str">
        <x:v>Structured 5-Whys enumeration of two parallel failure trees yields 10+ contributing factors spanning every rubric category: human/operational (mistaken host), procedural (manual undocumented replication-rebuild), technical (WAL segments removed, max_connections misset), abuse-handling system (employee scheduled for removal), DR design (Azure snapshots not enabled, secondary wiped), backup tooling (pg_dump version mismatch), monitoring/communication (silent failure via DMARC-rejected email), testing (backup recovery not tested), and organizational (no owner for data durability).</x:v>
      </x:c>
    </x:row>
    <x:row r="83">
      <x:c r="A83" s="15" t="str">
        <x:v>gitlab_database_2017</x:v>
      </x:c>
      <x:c r="B83" s="15" t="str">
        <x:v>https://about.gitlab.com/blog/postmortem-of-database-outage-of-january-31/</x:v>
      </x:c>
      <x:c r="C83" s="18" t="n">
        <x:v>5</x:v>
      </x:c>
      <x:c r="D83" s="15" t="str">
        <x:v>Action Item Concreteness</x:v>
      </x:c>
      <x:c r="E83" s="15" t="str">
        <x:v>Verifiable Repair</x:v>
      </x:c>
      <x:c r="F83" s="18" t="n">
        <x:v>2</x:v>
      </x:c>
      <x:c r="G83" s="15" t="str">
        <x:v>Overview of status of all issues listed in this blog post (#1684) ... Prometheus monitoring for backups (#1095) ... Set PostgreSQL's max_connections to a sane value (#1096) ... Hourly LVM snapshots of the production databases (#1098) ... Azure disk snapshots of production databases (#1099) ... Automated testing of recovering PostgreSQL database backups (#1102) ... Investigate pgbarman for creating PostgreSQL backups (#1105) ... Build Streaming Database Restore ... Assign an owner for data durability ... Bundle pgpool-II 3.6.1 (!1251) ... LVM snapshots are now taken every hour instead of once per 24 hours ... a public backup monitoring dashboard, which can be found at https://dashboards.gitlab.com/dashboard/db/postgresql-backups</x:v>
      </x:c>
      <x:c r="H83" s="15" t="str">
        <x:v>Most action items pair a concrete change with multiple verifiability signals: tracked issue/MR numbers (#1684, #1094–#1105, #494, !1251) functioning as named deliverables and falsifiable scope, named tools (pgbarman, WAL-E, pgpool-II 3.6.1, Prometheus), named ownership commitment ('Assign an owner for data durability'), explicit completion-state changes ('LVM snapshots are now taken every hour instead of once per 24 hours,' public backup-monitoring dashboard URL live), and acceptance-criterion language ('sane value' for max_connections paired with the prior 8000 baseline). Specific calendar deadlines are absent but compensated by tracker links and visible state changes.</x:v>
      </x:c>
    </x:row>
    <x:row r="84">
      <x:c r="A84" s="15" t="str">
        <x:v>gitlab_database_2017</x:v>
      </x:c>
      <x:c r="B84" s="15" t="str">
        <x:v>https://about.gitlab.com/blog/postmortem-of-database-outage-of-january-31/</x:v>
      </x:c>
      <x:c r="C84" s="18" t="n">
        <x:v>6</x:v>
      </x:c>
      <x:c r="D84" s="15" t="str">
        <x:v>Stance Toward Harm Caused</x:v>
      </x:c>
      <x:c r="E84" s="15" t="str">
        <x:v>Recognition of Affected Parties</x:v>
      </x:c>
      <x:c r="F84" s="18" t="n">
        <x:v>2</x:v>
      </x:c>
      <x:c r="G84" s="15" t="str">
        <x:v>Losing production data is unacceptable ... To the GitLab.com users whose data we lost and to the people affected by the outage: we're sorry. I apologize personally, as GitLab's CEO, and on behalf of everyone at GitLab.</x:v>
      </x:c>
      <x:c r="H84" s="15" t="str">
        <x:v>Multiple Score-2 prongs are met: explicit apology ('we're sorry'), personal apology from a named officer (CEO), explicit responsibility ('I apologize ... on behalf of everyone at GitLab'), and explicit framing of harm severity ('Losing production data is unacceptable').</x:v>
      </x:c>
    </x:row>
    <x:row r="85">
      <x:c r="A85" s="15" t="str">
        <x:v>gitlab_database_2017</x:v>
      </x:c>
      <x:c r="B85" s="15" t="str">
        <x:v>https://about.gitlab.com/blog/postmortem-of-database-outage-of-january-31/</x:v>
      </x:c>
      <x:c r="C85" s="18" t="n">
        <x:v>7</x:v>
      </x:c>
      <x:c r="D85" s="15" t="str">
        <x:v>Framing Subject</x:v>
      </x:c>
      <x:c r="E85" s="15" t="str">
        <x:v>Failure-Centered Framing</x:v>
      </x:c>
      <x:c r="F85" s="18" t="n">
        <x:v>1</x:v>
      </x:c>
      <x:c r="G85" s="15" t="str">
        <x:v>Postmortem of database outage of January 31</x:v>
      </x:c>
      <x:c r="H85" s="15" t="str">
        <x:v>Title centers the database outage and the postmortem itself as the subject — closely matching the rubric's Score-1 example 'Incident postmortem.' Opening recounts the engineering record rather than responding to discourse, complaints, or external reports.</x:v>
      </x:c>
    </x:row>
    <x:row r="86">
      <x:c r="A86" s="15" t="str">
        <x:v>lkml_leapsecond_futex_2012</x:v>
      </x:c>
      <x:c r="B86" s="15" t="str">
        <x:v>https://web.archive.org/web/20220320100036/https://lkml.org/lkml/2012/7/1/203</x:v>
      </x:c>
      <x:c r="C86" s="18" t="n">
        <x:v>1</x:v>
      </x:c>
      <x:c r="D86" s="15" t="str">
        <x:v>Quantification of User Impact</x:v>
      </x:c>
      <x:c r="E86" s="15" t="str">
        <x:v>Disclosure of Harm</x:v>
      </x:c>
      <x:c r="F86" s="18" t="n">
        <x:v>0</x:v>
      </x:c>
      <x:c r="G86" s="15" t="str">
        <x:v>More problematically, all sub-second TIMER_ABSTIME CLOCK_REALTIME timers will return immediately. If any such timer calls are done in a loop (as commonly done with futex_wait or other timeouts), this will cause load spikes in those applications.</x:v>
      </x:c>
      <x:c r="H86" s="15" t="str">
        <x:v>User-facing impact is described only qualitatively ('load spikes in those applications'). No count of affected systems, no traffic share, no error rate, no duration of any incident, no scope of deployments hitting the bug. The post is framed as bug behavior rather than production impact.</x:v>
      </x:c>
    </x:row>
    <x:row r="87">
      <x:c r="A87" s="15" t="str">
        <x:v>lkml_leapsecond_futex_2012</x:v>
      </x:c>
      <x:c r="B87" s="15" t="str">
        <x:v>https://web.archive.org/web/20220320100036/https://lkml.org/lkml/2012/7/1/203</x:v>
      </x:c>
      <x:c r="C87" s="18" t="n">
        <x:v>2</x:v>
      </x:c>
      <x:c r="D87" s="15" t="str">
        <x:v>Internal-Awareness Timeline</x:v>
      </x:c>
      <x:c r="E87" s="15" t="str">
        <x:v>Temporal Answerability</x:v>
      </x:c>
      <x:c r="F87" s="18" t="n">
        <x:v>0</x:v>
      </x:c>
      <x:c r="G87" s="15" t="str">
        <x:v>I've reproduced this behaviour in kernel versions: v3.5-rc4, v2.6.37, v2.6.32.59 (And quite likely all in-between) ... Likely has potentially been around since: 746976a301ac9c9aa10d7d42454f8d6cdad8ff2b in v2.6.22</x:v>
      </x:c>
      <x:c r="H87" s="15" t="str">
        <x:v>Document contains no incident-response timeline — no detection time, escalation time, mitigation time, or recovery time. Kernel-version history of bug introduction (since v2.6.22) is not a response timeline. Reader cannot compute time-to-detect or time-to-mitigate for any production incident.</x:v>
      </x:c>
    </x:row>
    <x:row r="88">
      <x:c r="A88" s="15" t="str">
        <x:v>lkml_leapsecond_futex_2012</x:v>
      </x:c>
      <x:c r="B88" s="15" t="str">
        <x:v>https://web.archive.org/web/20220320100036/https://lkml.org/lkml/2012/7/1/203</x:v>
      </x:c>
      <x:c r="C88" s="18" t="n">
        <x:v>3</x:v>
      </x:c>
      <x:c r="D88" s="15" t="str">
        <x:v>Causal Specificity / Agency</x:v>
      </x:c>
      <x:c r="E88" s="15" t="str">
        <x:v>Inspectable Causality</x:v>
      </x:c>
      <x:c r="F88" s="18" t="n">
        <x:v>2</x:v>
      </x:c>
      <x:c r="G88" s="15" t="str">
        <x:v>Leap second occurs, CLOCK_REALTIME is set back one second. As clock_was_set() is not called, the hrtimer base.offset value for CLOCK_REALTIME is not updated, thus its sense of wall time is one second ahead of the timekeeping core's. At interrupt time (T), the hrtimer code expires all CLOCK_REALTIME based timers set for T+1s and before, causing early expirations for timers between T and T+1s ... Likely has potentially been around since: 746976a301ac9c9aa10d7d42454f8d6cdad8ff2b in v2.6.22</x:v>
      </x:c>
      <x:c r="H88" s="15" t="str">
        <x:v>Names the specific kernel function not invoked (clock_was_set), the specific data structure left stale (hrtimer base.offset), the specific clock and flag (CLOCK_REALTIME, TIMER_ABSTIME), the precise mechanism (hrtimer wall-time one second ahead of timekeeping core), the introducing commit hash (746976a301ac9c9aa10d7d42454f8d6cdad8ff2b in v2.6.22), and the workaround that masks it (settimeofday triggers clock_was_set). Causal pathway is fully inspectable.</x:v>
      </x:c>
    </x:row>
    <x:row r="89">
      <x:c r="A89" s="15" t="str">
        <x:v>lkml_leapsecond_futex_2012</x:v>
      </x:c>
      <x:c r="B89" s="15" t="str">
        <x:v>https://web.archive.org/web/20220320100036/https://lkml.org/lkml/2012/7/1/203</x:v>
      </x:c>
      <x:c r="C89" s="18" t="n">
        <x:v>4</x:v>
      </x:c>
      <x:c r="D89" s="15" t="str">
        <x:v>Failure Enumeration</x:v>
      </x:c>
      <x:c r="E89" s="15" t="str">
        <x:v>Systemic Responsibility</x:v>
      </x:c>
      <x:c r="F89" s="18" t="n">
        <x:v>0</x:v>
      </x:c>
      <x:c r="G89" s="15" t="str">
        <x:v>This causes all TIMER_ABSTIME CLOCK_REALTIME timers to expire one second early. More problematically, all sub-second TIMER_ABSTIME CLOCK_REALTIME timers will return immediately ... This state persists until clock_was_set() is called</x:v>
      </x:c>
      <x:c r="H89" s="15" t="str">
        <x:v>Document presents one root cause (missing clock_was_set call when applying a leap second) plus its downstream symptoms. No enumeration of a broader failure stack — no testing, monitoring, communication, rollout, organizational, or process factors are named. Matches the rubric's Score-0 description: 'The document presents one or more incident causes but does not enumerate a broader failure stack.'</x:v>
      </x:c>
    </x:row>
    <x:row r="90">
      <x:c r="A90" s="15" t="str">
        <x:v>lkml_leapsecond_futex_2012</x:v>
      </x:c>
      <x:c r="B90" s="15" t="str">
        <x:v>https://web.archive.org/web/20220320100036/https://lkml.org/lkml/2012/7/1/203</x:v>
      </x:c>
      <x:c r="C90" s="18" t="n">
        <x:v>5</x:v>
      </x:c>
      <x:c r="D90" s="15" t="str">
        <x:v>Action Item Concreteness</x:v>
      </x:c>
      <x:c r="E90" s="15" t="str">
        <x:v>Verifiable Repair</x:v>
      </x:c>
      <x:c r="F90" s="18" t="n">
        <x:v>1</x:v>
      </x:c>
      <x:c r="G90" s="15" t="str">
        <x:v>With my fix to call clock_was_set when we apply a leapsecond, I no longer see the issue ... TODOs: * Chase down the futex/hrtimer interaction to see if this could be triggered in any other way</x:v>
      </x:c>
      <x:c r="H90" s="15" t="str">
        <x:v>Names a concrete code change (call clock_was_set when a leap second is applied) with implicit completion status ('I no longer see the issue') and a reproduction harness attached as evidence. However, no named owner beyond the author, no deadline, no metric, no acceptance criterion beyond 'I no longer see the issue,' and the follow-up TODO ('chase down the futex/hrtimer interaction') is open-ended.</x:v>
      </x:c>
    </x:row>
    <x:row r="91">
      <x:c r="A91" s="15" t="str">
        <x:v>lkml_leapsecond_futex_2012</x:v>
      </x:c>
      <x:c r="B91" s="15" t="str">
        <x:v>https://web.archive.org/web/20220320100036/https://lkml.org/lkml/2012/7/1/203</x:v>
      </x:c>
      <x:c r="C91" s="18" t="n">
        <x:v>6</x:v>
      </x:c>
      <x:c r="D91" s="15" t="str">
        <x:v>Stance Toward Harm Caused</x:v>
      </x:c>
      <x:c r="E91" s="15" t="str">
        <x:v>Recognition of Affected Parties</x:v>
      </x:c>
      <x:c r="F91" s="18" t="n">
        <x:v>0</x:v>
      </x:c>
      <x:c r="G91" s="15" t="str">
        <x:v>this will cause load spikes in those applications</x:v>
      </x:c>
      <x:c r="H91" s="15" t="str">
        <x:v>Document is a developer-to-developer technical analysis with no acknowledgment of harm to users, operators, or downstream systems. No apology, no 'sorry,' no responsibility statement, no remorse, no restitution, no recognition of disruption. Affected parties are not addressed; the audience is the kernel mailing list.</x:v>
      </x:c>
    </x:row>
    <x:row r="92">
      <x:c r="A92" s="15" t="str">
        <x:v>lkml_leapsecond_futex_2012</x:v>
      </x:c>
      <x:c r="B92" s="15" t="str">
        <x:v>https://web.archive.org/web/20220320100036/https://lkml.org/lkml/2012/7/1/203</x:v>
      </x:c>
      <x:c r="C92" s="18" t="n">
        <x:v>7</x:v>
      </x:c>
      <x:c r="D92" s="15" t="str">
        <x:v>Framing Subject</x:v>
      </x:c>
      <x:c r="E92" s="15" t="str">
        <x:v>Failure-Centered Framing</x:v>
      </x:c>
      <x:c r="F92" s="18" t="n">
        <x:v>1</x:v>
      </x:c>
      <x:c r="G92" s="15" t="str">
        <x:v>Subject Re: [PATCH 0/2][RFC] Potential fix for leapsecond caused futex issue (v2)</x:v>
      </x:c>
      <x:c r="H92" s="15" t="str">
        <x:v>Subject line centers the leap-second-caused futex issue and the proposed fix. Frames the post around the engineering record of a bug, not around discourse, complaints, or external reports. Closely matches the rubric's Score-1 example pattern.</x:v>
      </x:c>
    </x:row>
    <x:row r="93">
      <x:c r="A93" s="15" t="str">
        <x:v>stack_exchange_2014</x:v>
      </x:c>
      <x:c r="B93" s="15" t="str">
        <x:v>https://web.archive.org/web/20201020103424/https://stackstatus.net/post/96025967369/outage-post-mortem-august-25th-2014</x:v>
      </x:c>
      <x:c r="C93" s="18" t="n">
        <x:v>1</x:v>
      </x:c>
      <x:c r="D93" s="15" t="str">
        <x:v>Quantification of User Impact</x:v>
      </x:c>
      <x:c r="E93" s="15" t="str">
        <x:v>Disclosure of Harm</x:v>
      </x:c>
      <x:c r="F93" s="18" t="n">
        <x:v>1</x:v>
      </x:c>
      <x:c r="G93" s="15" t="str">
        <x:v>On August 25, 2014 there was an outage of all Stack Exchange sites (Q&amp;A sites as well as Careers) from 7:26 pm to 7:32 pm UTC (approximately 6 minutes)</x:v>
      </x:c>
      <x:c r="H93" s="15" t="str">
        <x:v>One quantified dimension provided: duration (~6 min). Service scope is named ('all Stack Exchange sites,' Q&amp;A and Careers) but is binary/all-or-nothing rather than quantified across users, requests, or geography. No user count, request count, error rate, traffic share, or affected-region figures. Matches the rubric's Score-1 description of 'duration only' with qualitative scope.</x:v>
      </x:c>
    </x:row>
    <x:row r="94">
      <x:c r="A94" s="15" t="str">
        <x:v>stack_exchange_2014</x:v>
      </x:c>
      <x:c r="B94" s="15" t="str">
        <x:v>https://web.archive.org/web/20201020103424/https://stackstatus.net/post/96025967369/outage-post-mortem-august-25th-2014</x:v>
      </x:c>
      <x:c r="C94" s="18" t="n">
        <x:v>2</x:v>
      </x:c>
      <x:c r="D94" s="15" t="str">
        <x:v>Internal-Awareness Timeline</x:v>
      </x:c>
      <x:c r="E94" s="15" t="str">
        <x:v>Temporal Answerability</x:v>
      </x:c>
      <x:c r="F94" s="18" t="n">
        <x:v>2</x:v>
      </x:c>
      <x:c r="G94" s="15" t="str">
        <x:v>2014-08-25 19:01 Change pushed to Git (da2d38d6a1) ... 19:26 Puppet runs on primary load balancer (pushed bad change / outage BEGINS) ... 19:27 On-call pager rings and staff notice problem ... 19:27 Revert pushed to Git (b55e654d9f) ... 19:30 Puppet updates secondary load balancer (pushed revert) ... 19:32 Puppet updates primary load balancer (outage RESOLVED)</x:v>
      </x:c>
      <x:c r="H94" s="15" t="str">
        <x:v>Explicit minute-resolution timeline covering change push, deployment, outage start, detection, revert push, secondary-LB application, and primary-LB recovery — each with a UTC timestamp and two named Git commit SHAs. Reader can compute every gap: push-to-deploy (25 min), time-to-detect (1 min), detection-to-revert (&lt;1 min), and total outage (6 min).</x:v>
      </x:c>
    </x:row>
    <x:row r="95">
      <x:c r="A95" s="15" t="str">
        <x:v>stack_exchange_2014</x:v>
      </x:c>
      <x:c r="B95" s="15" t="str">
        <x:v>https://web.archive.org/web/20201020103424/https://stackstatus.net/post/96025967369/outage-post-mortem-august-25th-2014</x:v>
      </x:c>
      <x:c r="C95" s="18" t="n">
        <x:v>3</x:v>
      </x:c>
      <x:c r="D95" s="15" t="str">
        <x:v>Causal Specificity / Agency</x:v>
      </x:c>
      <x:c r="E95" s="15" t="str">
        <x:v>Inspectable Causality</x:v>
      </x:c>
      <x:c r="F95" s="18" t="n">
        <x:v>2</x:v>
      </x:c>
      <x:c r="G95" s="15" t="str">
        <x:v>The cause was an incorrect change to network firewall configuration - specifically, iptables running on our HAProxy load balancers. While attempting to make a change enabling streamlined access for our web servers to internal API endpoints (connecting directly instead of traversing our ASA firewalls), a misleading comment in the iptables configuration led us to make a harmful change. The change had the effect of preventing the HAProxy systems from being able to complete a connection to our IIS web servers - the response traffic for those connections (the SYN/ACK packet) was suddenly being blocked.</x:v>
      </x:c>
      <x:c r="H95" s="15" t="str">
        <x:v>Names the specific tools (iptables, HAProxy, Puppet, Git, TeamCity), specific systems (ASA firewalls, IIS web servers), the precise mechanism (SYN/ACK blocking on response traffic), the trigger (misleading comment in iptables config), the location (New York data center), the goal of the change (streamlined web→API connectivity), and the exact bad and revert commits (da2d38d6a1, b55e654d9f). Causal pathway is fully inspectable to commit-level granularity.</x:v>
      </x:c>
    </x:row>
    <x:row r="96">
      <x:c r="A96" s="15" t="str">
        <x:v>stack_exchange_2014</x:v>
      </x:c>
      <x:c r="B96" s="15" t="str">
        <x:v>https://web.archive.org/web/20201020103424/https://stackstatus.net/post/96025967369/outage-post-mortem-august-25th-2014</x:v>
      </x:c>
      <x:c r="C96" s="18" t="n">
        <x:v>4</x:v>
      </x:c>
      <x:c r="D96" s="15" t="str">
        <x:v>Failure Enumeration</x:v>
      </x:c>
      <x:c r="E96" s="15" t="str">
        <x:v>Systemic Responsibility</x:v>
      </x:c>
      <x:c r="F96" s="18" t="n">
        <x:v>1</x:v>
      </x:c>
      <x:c r="G96" s="15" t="str">
        <x:v>a misleading comment in the iptables configuration led us to make a harmful change ... We need a mechanism to access our sites on the secondary/inactive load balancers, so that we can apply these changes there first ... Our current mechanism for managing these iptables rules is not as clear and understandable as it could be</x:v>
      </x:c>
      <x:c r="H96" s="15" t="str">
        <x:v>Names 3 closely related contributing factors: (1) misleading inline comment that obscured the rule's behavior, (2) absence of a mechanism to apply changes on the inactive LB first (rollout gap), (3) overall iptables-config format that is hard to read and modify (documentation/tooling clarity). All factors cluster around the configuration-management surface; broader categories such as testing, monitoring, communication, training, or organizational ownership are not separately enumerated. Below the 5+ threshold for Score 2.</x:v>
      </x:c>
    </x:row>
    <x:row r="97">
      <x:c r="A97" s="15" t="str">
        <x:v>stack_exchange_2014</x:v>
      </x:c>
      <x:c r="B97" s="15" t="str">
        <x:v>https://web.archive.org/web/20201020103424/https://stackstatus.net/post/96025967369/outage-post-mortem-august-25th-2014</x:v>
      </x:c>
      <x:c r="C97" s="18" t="n">
        <x:v>5</x:v>
      </x:c>
      <x:c r="D97" s="15" t="str">
        <x:v>Action Item Concreteness</x:v>
      </x:c>
      <x:c r="E97" s="15" t="str">
        <x:v>Verifiable Repair</x:v>
      </x:c>
      <x:c r="F97" s="18" t="n">
        <x:v>1</x:v>
      </x:c>
      <x:c r="G97" s="15" t="str">
        <x:v>We've already taken corrective action to prevent this kind of outage in the future (cleaning up the misleading comments!) ... We need a mechanism to access our sites on the secondary/inactive load balancers, so that we can apply these changes there first. This was already planned ... we are planning to convert these configs (currently a static file managed by Puppet getting placed at /etc/sysconfig/iptables) to the [Puppet Labs firewall] module and doing a full audit for readability/cleanup of the rules while we're at it</x:v>
      </x:c>
      <x:c r="H97" s="15" t="str">
        <x:v>Names concrete changes including a specific named deliverable (Puppet Labs firewall module migration) and a quantified scope (full audit of all iptables rules), plus an item with implicit completion status (comment cleanup 'already taken'). However, no deadlines/ETAs, no owners or teams, no metrics, no acceptance criteria, and the secondary-LB access item is vague (no specifics about how it will be implemented). Hedge language ('hopefully ending up with something much simpler') further weakens verifiability.</x:v>
      </x:c>
    </x:row>
    <x:row r="98">
      <x:c r="A98" s="15" t="str">
        <x:v>stack_exchange_2014</x:v>
      </x:c>
      <x:c r="B98" s="15" t="str">
        <x:v>https://web.archive.org/web/20201020103424/https://stackstatus.net/post/96025967369/outage-post-mortem-august-25th-2014</x:v>
      </x:c>
      <x:c r="C98" s="18" t="n">
        <x:v>6</x:v>
      </x:c>
      <x:c r="D98" s="15" t="str">
        <x:v>Stance Toward Harm Caused</x:v>
      </x:c>
      <x:c r="E98" s="15" t="str">
        <x:v>Recognition of Affected Parties</x:v>
      </x:c>
      <x:c r="F98" s="18" t="n">
        <x:v>0</x:v>
      </x:c>
      <x:c r="G98" s="15" t="str">
        <x:v>On August 25, 2014 there was an outage of all Stack Exchange sites</x:v>
      </x:c>
      <x:c r="H98" s="15" t="str">
        <x:v>Document describes the technical failure but does not acknowledge harm to users in any form. No apology, no 'sorry,' no 'we apologize,' no remorse, no responsibility statement, no restitution, and no recognition of user disruption. Users, customers, or readers are not named as affected parties anywhere in the post. Frame is pure information-sharing.</x:v>
      </x:c>
    </x:row>
    <x:row r="99">
      <x:c r="A99" s="15" t="str">
        <x:v>stack_exchange_2014</x:v>
      </x:c>
      <x:c r="B99" s="15" t="str">
        <x:v>https://web.archive.org/web/20201020103424/https://stackstatus.net/post/96025967369/outage-post-mortem-august-25th-2014</x:v>
      </x:c>
      <x:c r="C99" s="18" t="n">
        <x:v>7</x:v>
      </x:c>
      <x:c r="D99" s="15" t="str">
        <x:v>Framing Subject</x:v>
      </x:c>
      <x:c r="E99" s="15" t="str">
        <x:v>Failure-Centered Framing</x:v>
      </x:c>
      <x:c r="F99" s="18" t="n">
        <x:v>1</x:v>
      </x:c>
      <x:c r="G99" s="15" t="str">
        <x:v>Outage Post-Mortem: August 25th, 2014</x:v>
      </x:c>
      <x:c r="H99" s="15" t="str">
        <x:v>Title centers the outage and the postmortem itself as the subject — closely matching the rubric's Score-1 example 'Incident postmortem.' Opening sentence frames the post around the outage, not around discourse, complaints, or external reports.</x:v>
      </x:c>
    </x:row>
    <x:row r="100">
      <x:c r="A100" s="15" t="str">
        <x:v>eve_boot_ini_2007</x:v>
      </x:c>
      <x:c r="B100" s="15" t="str">
        <x:v>https://www.eveonline.com/news/view/about-the-boot.ini-issue</x:v>
      </x:c>
      <x:c r="C100" s="18" t="n">
        <x:v>1</x:v>
      </x:c>
      <x:c r="D100" s="15" t="str">
        <x:v>Quantification of User Impact</x:v>
      </x:c>
      <x:c r="E100" s="15" t="str">
        <x:v>Disclosure of Harm</x:v>
      </x:c>
      <x:c r="F100" s="18" t="n">
        <x:v>2</x:v>
      </x:c>
      <x:c r="G100" s="15" t="str">
        <x:v>In all, we've been contacted by fewer than 215 users (170 by petition, 45 by phone) who were adversely affected by the boot.ini issue ... released on Tranquility at 22:04 GMT on 5 December ... The faulty upgrade had been pulled from Tranquility a few hours after the problem was discovered, at around 03:40 GMT</x:v>
      </x:c>
      <x:c r="H100" s="15" t="str">
        <x:v>Impact is quantified across multiple dimensions: affected-user count (≤215), contact-channel breakdown (170 petitions / 45 phone), distribution-window duration (~5h 36min from release to pull), and qualitative-but-bounded severity ('In some cases the computer was not able to recover on the next startup'). Note: 215 is users-who-contacted, which is acknowledged as a lower bound rather than total affected, but multi-dimensional bounding is present.</x:v>
      </x:c>
    </x:row>
    <x:row r="101">
      <x:c r="A101" s="15" t="str">
        <x:v>eve_boot_ini_2007</x:v>
      </x:c>
      <x:c r="B101" s="15" t="str">
        <x:v>https://www.eveonline.com/news/view/about-the-boot.ini-issue</x:v>
      </x:c>
      <x:c r="C101" s="18" t="n">
        <x:v>2</x:v>
      </x:c>
      <x:c r="D101" s="15" t="str">
        <x:v>Internal-Awareness Timeline</x:v>
      </x:c>
      <x:c r="E101" s="15" t="str">
        <x:v>Temporal Answerability</x:v>
      </x:c>
      <x:c r="F101" s="18" t="n">
        <x:v>2</x:v>
      </x:c>
      <x:c r="G101" s="15" t="str">
        <x:v>The script to create the graphics content upgrade installer file was added to our source code management system on 30 November at 14:59 GMT ... released on Singularity on Sunday, 2 December ... released on Tranquility at 22:04 GMT on 5 December ... That fix was made in the early morning after the release, on 6 December at 06:08 GMT, and a fixed graphics content upgrade was released shortly thereafter. The faulty upgrade had been pulled from Tranquility a few hours after the problem was discovered, at around 03:40 GMT</x:v>
      </x:c>
      <x:c r="H101" s="15" t="str">
        <x:v>Explicit timeline with timestamps for script creation (Nov 30 14:59 GMT), test-server release (Dec 2), production release (Dec 5 22:04 GMT), pull from production (Dec 6 ~03:40 GMT), and code fix (Dec 6 06:08 GMT). Reader can compute distribution-to-pull (~5h 36min) and distribution-to-fix (~8 hours).</x:v>
      </x:c>
    </x:row>
    <x:row r="102">
      <x:c r="A102" s="15" t="str">
        <x:v>eve_boot_ini_2007</x:v>
      </x:c>
      <x:c r="B102" s="15" t="str">
        <x:v>https://www.eveonline.com/news/view/about-the-boot.ini-issue</x:v>
      </x:c>
      <x:c r="C102" s="18" t="n">
        <x:v>3</x:v>
      </x:c>
      <x:c r="D102" s="15" t="str">
        <x:v>Causal Specificity / Agency</x:v>
      </x:c>
      <x:c r="E102" s="15" t="str">
        <x:v>Inspectable Causality</x:v>
      </x:c>
      <x:c r="F102" s="18" t="n">
        <x:v>2</x:v>
      </x:c>
      <x:c r="G102" s="15" t="str">
        <x:v>Section 'EVE-ONLINE' SetOutPath '$INSTDIR' Delete 'boot.ini' Delete 'manifest.dat' File 'boot.ini' File 'manifest.dat' File 'resDX9*.stuff' SectionEnd ... The assumption was that by setting SetOutPath '$INSTDIR' then all commands that followed would use that working directory. The File commands use the output path that has been set. The documentation for the Delete function says the file should be specified with a full path but in fact it must be specified with a full path, like so: Delete '$INSTDIR\\boot.ini'</x:v>
      </x:c>
      <x:c r="H102" s="15" t="str">
        <x:v>Names the specific installer-script function (Delete), the specific path-context function (SetOutPath), the specific variable ($INSTDIR), the precise behavioral asymmetry between File and Delete (File uses SetOutPath but Delete defaults to root), and reproduces the exact offending script verbatim. Also names release build (45017), installer technology (LZMA), and named files (boot.ini, manifest.dat, resDX9*.stuff). Causal pathway is fully inspectable at source-code level.</x:v>
      </x:c>
    </x:row>
    <x:row r="103">
      <x:c r="A103" s="15" t="str">
        <x:v>eve_boot_ini_2007</x:v>
      </x:c>
      <x:c r="B103" s="15" t="str">
        <x:v>https://www.eveonline.com/news/view/about-the-boot.ini-issue</x:v>
      </x:c>
      <x:c r="C103" s="18" t="n">
        <x:v>4</x:v>
      </x:c>
      <x:c r="D103" s="15" t="str">
        <x:v>Failure Enumeration</x:v>
      </x:c>
      <x:c r="E103" s="15" t="str">
        <x:v>Systemic Responsibility</x:v>
      </x:c>
      <x:c r="F103" s="18" t="n">
        <x:v>2</x:v>
      </x:c>
      <x:c r="G103" s="15" t="str">
        <x:v>Why do you have a file with the same name as a Windows system startup file? The answer is really 'legacy'; it has been like that since 2001 ... Why wasn't this caught in a code review? The installer scripting language is not easy to read. We had been working very hard for many weeks prior to release, evenings and weekends, and this error slipped by us. Why didn't you catch this during testing? It's partly the reason above, not enough time to test the graphics content upgrade thoroughly to notice it removed this file. We also discovered that we didn't have enough variation in our hardware and operating system setups since Windows will recover if it's on the first partition of the boot drive. It seems that most computers at CCP are set up this way</x:v>
      </x:c>
      <x:c r="H103" s="15" t="str">
        <x:v>Enumerates 5+ contributing factors across multiple categories: (1) Delete-function path-default behavior (technical), (2) legacy filename collision with Windows boot.ini (naming/architectural legacy), (3) installer scripting language hard to read (tooling/readability), (4) code review missed it (process), (5) working evenings and weekends prior to release (working-conditions/burnout), (6) insufficient testing time (testing), (7) insufficient hardware/OS variation in test setups (testing diversity), (8) selection bias — CCP computers configured such that Windows would recover the deleted file, masking the issue (testing-environment representativeness). Includes process, testing, working-conditions, and architectural-legacy categories.</x:v>
      </x:c>
    </x:row>
    <x:row r="104">
      <x:c r="A104" s="15" t="str">
        <x:v>eve_boot_ini_2007</x:v>
      </x:c>
      <x:c r="B104" s="15" t="str">
        <x:v>https://www.eveonline.com/news/view/about-the-boot.ini-issue</x:v>
      </x:c>
      <x:c r="C104" s="18" t="n">
        <x:v>5</x:v>
      </x:c>
      <x:c r="D104" s="15" t="str">
        <x:v>Action Item Concreteness</x:v>
      </x:c>
      <x:c r="E104" s="15" t="str">
        <x:v>Verifiable Repair</x:v>
      </x:c>
      <x:c r="F104" s="18" t="n">
        <x:v>1</x:v>
      </x:c>
      <x:c r="G104" s="15" t="str">
        <x:v>The fix we made to the installer script was not to explicitly delete these two files but rather implicitly overwrite them. That fix was made in the early morning after the release, on 6 December at 06:08 GMT ... We are reviewing all filenames and changing the name of any file that conflicts with Windows ... we have already revised our testing procedures to make sure this does not happen again ... establishing phone support and even making arrangements for external support technicians, such as Geek Squad, to assist our customers when necessary</x:v>
      </x:c>
      <x:c r="H104" s="15" t="str">
        <x:v>Names concrete process and technical changes with mixed completion signals: installer-script fix (Done, with timestamp), filename review (in progress, with full scope of 'all filenames'), revised testing procedures (claimed Done but specifics unstated), phone support (Done), Geek Squad arrangement (Done). Several items have completion status plus named deliverables. However, most lack specific deadlines, owners, metrics, and the testing-procedure revision is asserted without describing what specifically changed — limiting falsifiability.</x:v>
      </x:c>
    </x:row>
    <x:row r="105">
      <x:c r="A105" s="15" t="str">
        <x:v>eve_boot_ini_2007</x:v>
      </x:c>
      <x:c r="B105" s="15" t="str">
        <x:v>https://www.eveonline.com/news/view/about-the-boot.ini-issue</x:v>
      </x:c>
      <x:c r="C105" s="18" t="n">
        <x:v>6</x:v>
      </x:c>
      <x:c r="D105" s="15" t="str">
        <x:v>Stance Toward Harm Caused</x:v>
      </x:c>
      <x:c r="E105" s="15" t="str">
        <x:v>Recognition of Affected Parties</x:v>
      </x:c>
      <x:c r="F105" s="18" t="n">
        <x:v>2</x:v>
      </x:c>
      <x:c r="G105" s="15" t="str">
        <x:v>We deeply regret this incident and appreciate the patience and support our community has shown through the recovery process ... We should have been more careful ... developers were called back to work in the middle of the night to investigate and fix it. Since then we have been working hard around the clock helping our customers that were affected by this problem, quickly establishing phone support and even making arrangements for external support technicians, such as Geek Squad, to assist our customers when necessary ... we will remain diligent in our efforts to see that each case is resolved satisfactorily, first through our Customer Support and if that fails through third party tech assistance such as Geek Squad</x:v>
      </x:c>
      <x:c r="H105" s="15" t="str">
        <x:v>Multiple Score-2 prongs are met: explicit regret ('We deeply regret this incident'), explicit responsibility ('We should have been more careful,' 'I'm not going to blame Microsoft for our mistake'), and concrete restitution — the company pays for external Geek Squad technical assistance for affected users where customer support cannot resolve the issue.</x:v>
      </x:c>
    </x:row>
    <x:row r="106">
      <x:c r="A106" s="15" t="str">
        <x:v>eve_boot_ini_2007</x:v>
      </x:c>
      <x:c r="B106" s="15" t="str">
        <x:v>https://www.eveonline.com/news/view/about-the-boot.ini-issue</x:v>
      </x:c>
      <x:c r="C106" s="18" t="n">
        <x:v>7</x:v>
      </x:c>
      <x:c r="D106" s="15" t="str">
        <x:v>Framing Subject</x:v>
      </x:c>
      <x:c r="E106" s="15" t="str">
        <x:v>Failure-Centered Framing</x:v>
      </x:c>
      <x:c r="F106" s="18" t="n">
        <x:v>1</x:v>
      </x:c>
      <x:c r="G106" s="15" t="str">
        <x:v>About the boot.ini issue</x:v>
      </x:c>
      <x:c r="H106" s="15" t="str">
        <x:v>Title centers the boot.ini issue itself as the subject. The opening sentence frames the post around the engineering record of the deletion bug, not around discourse, complaints, or external reports — closer to the rubric's Score-1 examples than to the discourse-centered Score-0 examples.</x:v>
      </x:c>
    </x:row>
  </x:sheetData>
  <x:conditionalFormatting sqref="F2:F106">
    <x:cfRule type="colorScale" priority="1">
      <x:colorScale>
        <x:cfvo type="min"/>
        <x:cfvo type="percentile" val="50"/>
        <x:cfvo type="max"/>
        <x:color rgb="FEE2E2"/>
        <x:color rgb="FEF3C7"/>
        <x:color rgb="DCFCE7"/>
      </x:colorScale>
    </x:cfRule>
  </x:conditionalFormatting>
  <x:pageMargins left="0.7" right="0.7" top="0.75" bottom="0.75" header="0.3" footer="0.3"/>
  <x:tableParts count="1">
    <x:tablePart xmlns:r="http://schemas.openxmlformats.org/officeDocument/2006/relationships" r:id="R3479fc82673e470e"/>
  </x:tableParts>
</x:worksheet>
</file>

<file path=xl/worksheets/sheet3.xml><?xml version="1.0" encoding="utf-8"?>
<x:worksheet xmlns:x="http://schemas.openxmlformats.org/spreadsheetml/2006/main">
  <x:sheetFormatPr defaultRowHeight="15"/>
  <x:cols>
    <x:col min="1" max="1" width="28" hidden="0" customWidth="1"/>
    <x:col min="2" max="2" width="50" hidden="0" customWidth="1"/>
    <x:col min="3" max="3" width="20" hidden="0" customWidth="1"/>
    <x:col min="4" max="4" width="55" hidden="0" customWidth="1"/>
    <x:col min="5" max="5" width="60" hidden="0" customWidth="1"/>
  </x:cols>
  <x:sheetData>
    <x:row r="1" ht="24" customHeight="1">
      <x:c r="A1" s="14" t="str">
        <x:v>document_id</x:v>
      </x:c>
      <x:c r="B1" s="14" t="str">
        <x:v>source_url</x:v>
      </x:c>
      <x:c r="C1" s="14" t="str">
        <x:v>flag_type</x:v>
      </x:c>
      <x:c r="D1" s="14" t="str">
        <x:v>evidence_quote</x:v>
      </x:c>
      <x:c r="E1" s="14" t="str">
        <x:v>rationale</x:v>
      </x:c>
    </x:row>
    <x:row r="2">
      <x:c r="A2" s="15" t="str">
        <x:v>eve_boot_ini_2007</x:v>
      </x:c>
      <x:c r="B2" s="15" t="str">
        <x:v>https://www.eveonline.com/news/view/about-the-boot.ini-issue</x:v>
      </x:c>
      <x:c r="C2" s="15" t="str">
        <x:v>None</x:v>
      </x:c>
      <x:c r="D2" s="15" t="str"/>
      <x:c r="E2" s="15" t="str">
        <x:v>No clear defensive denial, embedded marketing, or responsibility diffusion flag. The post explicitly disclaims potential diffusion ('But of course I'm not going to blame Microsoft for our mistake') after raising the question of why Windows doesn't protect its system files, which is the inverse of the diffusion pattern. No product/brand reinforcement is interleaved with the engineering record.</x:v>
      </x:c>
    </x:row>
    <x:row r="3">
      <x:c r="A3" s="15" t="str">
        <x:v>lkml_leapsecond_futex_2012</x:v>
      </x:c>
      <x:c r="B3" s="15" t="str">
        <x:v>https://web.archive.org/web/20220320100036/https://lkml.org/lkml/2012/7/1/203</x:v>
      </x:c>
      <x:c r="C3" s="15" t="str">
        <x:v>None</x:v>
      </x:c>
      <x:c r="D3" s="15" t="str"/>
      <x:c r="E3" s="15" t="str">
        <x:v>No clear defensive denial, embedded marketing, or responsibility diffusion flag. The post is a technical bug analysis with no brand or product positioning, no rebuttal of external claims, and a single concrete internal cause (missing clock_was_set call), so the rubric instruction not to mark diffusion when a concrete internal cause is given applies.</x:v>
      </x:c>
    </x:row>
    <x:row r="4">
      <x:c r="A4" s="15" t="str">
        <x:v>gitlab_database_2017</x:v>
      </x:c>
      <x:c r="B4" s="15" t="str">
        <x:v>https://about.gitlab.com/blog/postmortem-of-database-outage-of-january-31/</x:v>
      </x:c>
      <x:c r="C4" s="15" t="str">
        <x:v>None</x:v>
      </x:c>
      <x:c r="D4" s="15" t="str"/>
      <x:c r="E4" s="15" t="str">
        <x:v>No clear defensive denial, embedded marketing, or responsibility diffusion flag. The document keeps brand and product claims out of the postmortem, owns the operational mistake at the artifact level, attributes the abuse-report mis-flag and the spam load to internal system limitations rather than externalizing blame, and the troll/spam mention is paired with concrete internal causes (abuse-handling system flagged the employee), so the rubric instruction not to mark diffusion when an internal cause is given applies.</x:v>
      </x:c>
    </x:row>
    <x:row r="5">
      <x:c r="A5" s="15" t="str">
        <x:v>github_ddos_2018</x:v>
      </x:c>
      <x:c r="B5" s="15" t="str">
        <x:v>https://github.blog/news-insights/company-news/ddos-incident-report/</x:v>
      </x:c>
      <x:c r="C5" s="15" t="str">
        <x:v>Defensive denial</x:v>
      </x:c>
      <x:c r="D5" s="15" t="str">
        <x:v>To note, at no point was the confidentiality or integrity of your data at risk</x:v>
      </x:c>
      <x:c r="E5" s="15" t="str">
        <x:v>Pre-empts and rebuts an anticipated external concern about data breach or unauthorized access. Functions as reputational defense alongside the engineering record, similar to the rubric's pattern of denying suspected motives or claims.</x:v>
      </x:c>
    </x:row>
    <x:row r="6">
      <x:c r="A6" s="15" t="str">
        <x:v>github_ddos_2018</x:v>
      </x:c>
      <x:c r="B6" s="15" t="str">
        <x:v>https://github.blog/news-insights/company-news/ddos-incident-report/</x:v>
      </x:c>
      <x:c r="C6" s="15" t="str">
        <x:v>Embedded marketing</x:v>
      </x:c>
      <x:c r="D6" s="15" t="str">
        <x:v>Over the past year we have deployed additional transit to our facilities. We've more than doubled our transit capacity during that time, which has allowed us to withstand certain volumetric attacks without impact to users. We're continuing to deploy additional transit capacity and develop robust peering relationships across a diverse set of exchanges</x:v>
      </x:c>
      <x:c r="E6" s="15" t="str">
        <x:v>Inserts capacity-investment positioning ('more than doubled our transit capacity,' 'withstand certain volumetric attacks without impact to users,' 'robust peering relationships across a diverse set of exchanges') into the postmortem narrative. Reliability-investment reinforcement is interleaved with the engineering record.</x:v>
      </x:c>
    </x:row>
    <x:row r="7">
      <x:c r="A7" s="15" t="str">
        <x:v>discord_connectivity_2017</x:v>
      </x:c>
      <x:c r="B7" s="15" t="str">
        <x:v>https://discordstatus.com/incidents/dj3l6lw926kl</x:v>
      </x:c>
      <x:c r="C7" s="15" t="str">
        <x:v>Embedded marketing</x:v>
      </x:c>
      <x:c r="D7" s="15" t="str">
        <x:v>This buffering mechanism works great, and is one of the reasons Discord is so responsive even when participating in many large servers ... While we've invested immense effort and engineering in scaling and improving the performance of many core services and database over the past months, we've also seen immense growth ... Since then the improvements and time we've invested in improving the performance of our core services and databases caused this experience to be much less painful</x:v>
      </x:c>
      <x:c r="E7" s="15" t="str">
        <x:v>Inserts product-feature positioning ('works great,' 'Discord is so responsive') and engineering-investment narrative ('immense effort and engineering,' 'immense growth,' 'much less painful') into the postmortem. Brand and capability reinforcement is interleaved with the engineering record rather than separated from it.</x:v>
      </x:c>
    </x:row>
    <x:row r="8">
      <x:c r="A8" s="15" t="str">
        <x:v>aws_s3_2008</x:v>
      </x:c>
      <x:c r="B8" s="15" t="str">
        <x:v>https://web.archive.org/web/20220403060108/https://status.aws.amazon.com/s3-20080720.html</x:v>
      </x:c>
      <x:c r="C8" s="15" t="str">
        <x:v>Embedded marketing</x:v>
      </x:c>
      <x:c r="D8" s="15" t="str">
        <x:v>Finally, we want you to know that we are passionate about providing the best storage service at the best price so that you can spend more time thinking about your business rather than having to focus on building scalable, reliable infrastructure. Though we're proud of our operational performance in operating Amazon S3 for almost 2.5 years</x:v>
      </x:c>
      <x:c r="E8" s="15" t="str">
        <x:v>Closes with embedded product-marketing material: a value-proposition restatement ('best storage service at the best price'), a positioning line about offloading infrastructure work, and an operational-pride boast ('proud of our operational performance ... for almost 2.5 years'). Brand reinforcement is interleaved with the harm acknowledgment rather than separated from the engineering record.</x:v>
      </x:c>
    </x:row>
    <x:row r="9">
      <x:c r="A9" s="15" t="str">
        <x:v>atlassian_2022_april_outage</x:v>
      </x:c>
      <x:c r="B9" s="15" t="str">
        <x:v>https://www.atlassian.com/blog/atlassian-engineering/post-incident-review-april-2022-outage</x:v>
      </x:c>
      <x:c r="C9" s="15" t="str">
        <x:v>Defensive denial</x:v>
      </x:c>
      <x:c r="D9" s="15" t="str">
        <x:v>This was not a result of a cyberattack and there was no unauthorized access to customer data ... We confirmed that this was not the result of an internal malicious act or cyberattack</x:v>
      </x:c>
      <x:c r="E9" s="15" t="str">
        <x:v>Pre-empts and rebuts external suspicions about cyberattack and unauthorized access. The denial is repeated in both the executive summary and the Workstream 1 narrative, functioning as reputational defense alongside the engineering record.</x:v>
      </x:c>
    </x:row>
    <x:row r="10">
      <x:c r="A10" s="15" t="str">
        <x:v>atlassian_2022_april_outage</x:v>
      </x:c>
      <x:c r="B10" s="15" t="str">
        <x:v>https://www.atlassian.com/blog/atlassian-engineering/post-incident-review-april-2022-outage</x:v>
      </x:c>
      <x:c r="C10" s="15" t="str">
        <x:v>Embedded marketing</x:v>
      </x:c>
      <x:c r="D10" s="15" t="str">
        <x:v>Rest assured, Atlassian's cloud platform allows us to meet the diverse needs of our over 200,000 cloud customers of every size and across every industry. Prior to this incident, our cloud has consistently delivered 99.9% uptime and exceeded uptime SLAs. We've made long-term investments in our platform and in a number of centralized platform capabilities, with a scalable infrastructure and a steady cadence of security enhancements ... We hope the details and actions outlined in this document show that Atlassian will continue to provide a world-class cloud platform and a powerful portfolio of products to meet the needs of every team</x:v>
      </x:c>
      <x:c r="E10" s="15" t="str">
        <x:v>Executive letter inserts substantial product-marketing material into the postmortem: customer-count brag (200,000), reliability brag (99.9% uptime, exceeded SLAs), platform-investment positioning, and the 'world-class cloud platform' / 'powerful portfolio of products' tagline. Brand reinforcement is interleaved with the harm acknowledgment rather than separated from the engineering record.</x:v>
      </x:c>
    </x:row>
    <x:row r="11">
      <x:c r="A11" s="15" t="str">
        <x:v>rust_dns_2023</x:v>
      </x:c>
      <x:c r="B11" s="15" t="str">
        <x:v>https://blog.rust-lang.org/inside-rust/2023/02/08/dns-outage-portmortem/</x:v>
      </x:c>
      <x:c r="C11" s="15" t="str">
        <x:v>None</x:v>
      </x:c>
      <x:c r="D11" s="15" t="str"/>
      <x:c r="E11" s="15" t="str">
        <x:v>No clear defensive denial, embedded marketing, or responsibility diffusion flag. The post owns its decisions explicitly (bundled deployment, Git-commit selection, hesitancy to deploy frequently) and avoids product promotion or external blame-shifting.</x:v>
      </x:c>
    </x:row>
    <x:row r="12">
      <x:c r="A12" s="15" t="str">
        <x:v>azure_storage_2014</x:v>
      </x:c>
      <x:c r="B12" s="15" t="str">
        <x:v>https://azure.microsoft.com/en-us/blog/update-on-azure-storage-service-interruption/</x:v>
      </x:c>
      <x:c r="C12" s="15" t="str">
        <x:v>None</x:v>
      </x:c>
      <x:c r="D12" s="15" t="str"/>
      <x:c r="E12" s="15" t="str">
        <x:v>No clear defensive denial, embedded marketing, or responsibility diffusion flag. The phrase 'due to operational error' is mildly passive but is paired with concrete internal causes (Blob Front-End bug, deviation from incremental-batch protocol, dashboard dependency on affected infrastructure), so the rubric instruction not to mark diffusion when an internal cause is given applies.</x:v>
      </x:c>
    </x:row>
    <x:row r="13">
      <x:c r="A13" s="15" t="str">
        <x:v>heroku_2020_git_push</x:v>
      </x:c>
      <x:c r="B13" s="15" t="str">
        <x:v>https://www.heroku.com/blog/how-i-broke-git-push-heroku-main/</x:v>
      </x:c>
      <x:c r="C13" s="15" t="str">
        <x:v>Defensive denial</x:v>
      </x:c>
      <x:c r="D13" s="15" t="str">
        <x:v>see how it happened (spoiler: I messed up), and what we're doing to avoid it from happening again (spoiler: I'm not fired) ... An untrained eye could say 'wow, you messed up bad. Why didn't you run that command?', and they would be right. Except they actually wouldn't.</x:v>
      </x:c>
      <x:c r="E13" s="15" t="str">
        <x:v>Pre-empts an imagined external criticism (that the engineer 'messed up bad' and should be fired) and rebuts it as 'untrained.' The post is structured around defending the engineer's continued employment and the blameless-retrospective philosophy against an anticipated reputational/judgment claim, in addition to explaining the engineering record.</x:v>
      </x:c>
    </x:row>
    <x:row r="14">
      <x:c r="A14" s="15" t="str">
        <x:v>mozilla_firefox_2022</x:v>
      </x:c>
      <x:c r="B14" s="15" t="str">
        <x:v>https://web.archive.org/web/20250314111052/https://hacks.mozilla.org/2022/02/retrospective-and-technical-details-on-the-recent-firefox-outage/</x:v>
      </x:c>
      <x:c r="C14" s="15" t="str">
        <x:v>None</x:v>
      </x:c>
      <x:c r="D14" s="15" t="str"/>
      <x:c r="E14" s="15" t="str">
        <x:v>No clear defensive denial, embedded marketing, or responsibility diffusion flag. Although the lessons-learned section places the unannounced GCP change first and devotes attention to vendor behavior, the document also gives concrete internal causes (configuration choice, CI gap, case-sensitivity bug, infinite-loop fallback), so the rubric instruction not to mark diffusion when an internal cause is later given applies.</x:v>
      </x:c>
    </x:row>
    <x:row r="15">
      <x:c r="A15" s="15" t="str">
        <x:v>roblox_2021</x:v>
      </x:c>
      <x:c r="B15" s="15" t="str">
        <x:v>https://about.roblox.com/newsroom/2022/01/roblox-return-to-service-10-28-10-31-2021</x:v>
      </x:c>
      <x:c r="C15" s="15" t="str">
        <x:v>Defensive denial</x:v>
      </x:c>
      <x:c r="D15" s="15" t="str">
        <x:v>In the aftermath of an outage like this, it's natural to ask if Roblox would consider moving to public cloud and letting a third party manage our foundational compute, storage, and networking services ... we believe it's the best way to support our business and our community ... we are not ideologically wedded to any particular approach</x:v>
      </x:c>
      <x:c r="E15" s="15" t="str">
        <x:v>Pre-empts and rebuts an external infrastructure-strategy critique that the post itself names ('it's natural to ask'). The 'A Note on Public Cloud' section is structured as a defense of the on-prem choice rather than as part of the engineering record, responding to anticipated reputational/architecture criticism.</x:v>
      </x:c>
    </x:row>
    <x:row r="16">
      <x:c r="A16" s="15" t="str">
        <x:v>roblox_2021</x:v>
      </x:c>
      <x:c r="B16" s="15" t="str">
        <x:v>https://about.roblox.com/newsroom/2022/01/roblox-return-to-service-10-28-10-31-2021</x:v>
      </x:c>
      <x:c r="C16" s="15" t="str">
        <x:v>Embedded marketing</x:v>
      </x:c>
      <x:c r="D16" s="15" t="str">
        <x:v>One of our Roblox values is Respect The Community ... Another one of our Roblox values is Take The Long View ... Another one of our Roblox values is Take Responsibility ... we want to thank our Roblox colleagues for validating why this is an amazing place to work. At Roblox we believe in civility and respect ... These savings directly influence the amount we are able to pay to creators on the platform</x:v>
      </x:c>
      <x:c r="E16" s="15" t="str">
        <x:v>Repeated invocation of branded corporate values ('Respect The Community,' 'Take The Long View,' 'Take Responsibility'), employer-brand reinforcement ('amazing place to work,' 'civility and respect'), and a creator-economy positioning line ('savings directly influence the amount we are able to pay to creators') are embedded inside the postmortem narrative.</x:v>
      </x:c>
    </x:row>
    <x:row r="17">
      <x:c r="A17" s="15" t="str">
        <x:v>anthropic_2026_claude_code</x:v>
      </x:c>
      <x:c r="B17" s="15" t="str">
        <x:v>https://www.anthropic.com/engineering/april-23-postmortem</x:v>
      </x:c>
      <x:c r="C17" s="15" t="str">
        <x:v>Defensive denial</x:v>
      </x:c>
      <x:c r="D17" s="15" t="str">
        <x:v>We take reports about degradation very seriously. We never intentionally degrade our models, and we were able to immediately confirm that our API and inference layer were unaffected.</x:v>
      </x:c>
      <x:c r="E17" s="15" t="str">
        <x:v>Pre-emptively denies an external suspicion ('we never intentionally degrade our models') before the engineering record is presented. Closely matches the rubric's literal Defensive Denial example. The accompanying 'API and inference layer were unaffected' line scopes the denial to specific surfaces, which functions as additional reputational defense alongside the accusation rebuttal.</x:v>
      </x:c>
    </x:row>
    <x:row r="18">
      <x:c r="A18" s="15" t="str">
        <x:v>cloudflare_2019</x:v>
      </x:c>
      <x:c r="B18" s="15" t="str">
        <x:v>https://blog.cloudflare.com/details-of-the-cloudflare-outage-on-july-2-2019/</x:v>
      </x:c>
      <x:c r="C18" s="15" t="str">
        <x:v>Embedded marketing</x:v>
      </x:c>
      <x:c r="D18" s="15" t="str">
        <x:v>In May, for example, we used the speed with which we can update the WAF to push a rule to protect against a serious SharePoint vulnerability. Being able to deploy rules quickly and globally is a critical feature of our WAF.</x:v>
      </x:c>
      <x:c r="E18" s="15" t="str">
        <x:v>Inserts product capability promotion ('critical feature of our WAF') and a positive use-case anecdote inside the postmortem narrative, reinforcing the WAF's value proposition while explaining a WAF-caused outage.</x:v>
      </x:c>
    </x:row>
    <x:row r="19">
      <x:c r="A19" s="15" t="str">
        <x:v>stack_exchange_2014</x:v>
      </x:c>
      <x:c r="B19" s="15" t="str">
        <x:v>https://web.archive.org/web/20201020103424/https://stackstatus.net/post/96025967369/outage-post-mortem-august-25th-2014</x:v>
      </x:c>
      <x:c r="C19" s="15" t="str">
        <x:v>None</x:v>
      </x:c>
      <x:c r="D19" s="15" t="str"/>
      <x:c r="E19" s="15" t="str">
        <x:v>No clear defensive denial, embedded marketing, or responsibility diffusion flag. The phrase 'a misleading comment ... led us to make a harmful change' is mildly externalizing toward the comment, but the document explicitly owns the action ('led us to make') and gives concrete internal causes (config-clarity gap, missing inactive-LB testing path), so the rubric instruction not to mark diffusion when an internal cause is given applies.</x:v>
      </x:c>
    </x:row>
  </x:sheetData>
  <x:conditionalFormatting sqref="C2:C19">
    <x:cfRule type="expression" dxfId="0" priority="1">
      <x:formula>C2&lt;&gt;"None"</x:formula>
    </x:cfRule>
  </x:conditionalFormatting>
  <x:pageMargins left="0.7" right="0.7" top="0.75" bottom="0.75" header="0.3" footer="0.3"/>
  <x:tableParts count="1">
    <x:tablePart xmlns:r="http://schemas.openxmlformats.org/officeDocument/2006/relationships" r:id="Rfedb1cc4bad54321"/>
  </x:tableParts>
</x:worksheet>
</file>

<file path=xl/worksheets/sheet4.xml><?xml version="1.0" encoding="utf-8"?>
<x:worksheet xmlns:x="http://schemas.openxmlformats.org/spreadsheetml/2006/main">
  <x:sheetFormatPr defaultRowHeight="15"/>
  <x:cols>
    <x:col min="1" max="1" width="12" hidden="0" customWidth="1"/>
    <x:col min="2" max="2" width="28" hidden="0" customWidth="1"/>
    <x:col min="3" max="3" width="26" hidden="0" customWidth="1"/>
    <x:col min="4" max="4" width="38" hidden="0" customWidth="1"/>
    <x:col min="5" max="5" width="38" hidden="0" customWidth="1"/>
    <x:col min="6" max="6" width="38" hidden="0" customWidth="1"/>
  </x:cols>
  <x:sheetData>
    <x:row r="1" ht="24" customHeight="1">
      <x:c r="A1" s="14" t="str">
        <x:v>item_number</x:v>
      </x:c>
      <x:c r="B1" s="14" t="str">
        <x:v>item_name</x:v>
      </x:c>
      <x:c r="C1" s="14" t="str">
        <x:v>principle</x:v>
      </x:c>
      <x:c r="D1" s="14" t="str">
        <x:v>score_0</x:v>
      </x:c>
      <x:c r="E1" s="14" t="str">
        <x:v>score_1</x:v>
      </x:c>
      <x:c r="F1" s="14" t="str">
        <x:v>score_2</x:v>
      </x:c>
    </x:row>
    <x:row r="2">
      <x:c r="A2" s="15" t="n">
        <x:v>1</x:v>
      </x:c>
      <x:c r="B2" s="15" t="str">
        <x:v>Quantification of User Impact</x:v>
      </x:c>
      <x:c r="C2" s="15" t="str">
        <x:v>Disclosure of Harm</x:v>
      </x:c>
      <x:c r="D2" s="15" t="str">
        <x:v>Qualitative only</x:v>
      </x:c>
      <x:c r="E2" s="15" t="str">
        <x:v>Partial quantification</x:v>
      </x:c>
      <x:c r="F2" s="15" t="str">
        <x:v>Substantive quantification across multiple dimensions</x:v>
      </x:c>
    </x:row>
    <x:row r="3">
      <x:c r="A3" s="15" t="n">
        <x:v>2</x:v>
      </x:c>
      <x:c r="B3" s="15" t="str">
        <x:v>Internal-Awareness Timeline</x:v>
      </x:c>
      <x:c r="C3" s="15" t="str">
        <x:v>Temporal Answerability</x:v>
      </x:c>
      <x:c r="D3" s="15" t="str">
        <x:v>Minimal timeline</x:v>
      </x:c>
      <x:c r="E3" s="15" t="str">
        <x:v>Partial timeline</x:v>
      </x:c>
      <x:c r="F3" s="15" t="str">
        <x:v>Explicit detection/mitigation/recovery timing</x:v>
      </x:c>
    </x:row>
    <x:row r="4">
      <x:c r="A4" s="15" t="n">
        <x:v>3</x:v>
      </x:c>
      <x:c r="B4" s="15" t="str">
        <x:v>Causal Specificity / Agency</x:v>
      </x:c>
      <x:c r="C4" s="15" t="str">
        <x:v>Inspectable Causality</x:v>
      </x:c>
      <x:c r="D4" s="15" t="str">
        <x:v>Abstract or passive causality</x:v>
      </x:c>
      <x:c r="E4" s="15" t="str">
        <x:v>Mixed specificity</x:v>
      </x:c>
      <x:c r="F4" s="15" t="str">
        <x:v>High specificity: actor/artifact/mechanism inspectable</x:v>
      </x:c>
    </x:row>
    <x:row r="5">
      <x:c r="A5" s="15" t="n">
        <x:v>4</x:v>
      </x:c>
      <x:c r="B5" s="15" t="str">
        <x:v>Failure Enumeration</x:v>
      </x:c>
      <x:c r="C5" s="15" t="str">
        <x:v>Systemic Responsibility</x:v>
      </x:c>
      <x:c r="D5" s="15" t="str">
        <x:v>No contributing-factor enumeration</x:v>
      </x:c>
      <x:c r="E5" s="15" t="str">
        <x:v>Limited enumeration, mostly technical</x:v>
      </x:c>
      <x:c r="F5" s="15" t="str">
        <x:v>5+ contributing factors including procedural/organizational etc.</x:v>
      </x:c>
    </x:row>
    <x:row r="6">
      <x:c r="A6" s="15" t="n">
        <x:v>5</x:v>
      </x:c>
      <x:c r="B6" s="15" t="str">
        <x:v>Action Item Concreteness</x:v>
      </x:c>
      <x:c r="C6" s="15" t="str">
        <x:v>Verifiable Repair</x:v>
      </x:c>
      <x:c r="D6" s="15" t="str">
        <x:v>Mostly vague action items</x:v>
      </x:c>
      <x:c r="E6" s="15" t="str">
        <x:v>Concrete but weakly verifiable</x:v>
      </x:c>
      <x:c r="F6" s="15" t="str">
        <x:v>Concrete and falsifiable with at least two verification features</x:v>
      </x:c>
    </x:row>
    <x:row r="7">
      <x:c r="A7" s="15" t="n">
        <x:v>6</x:v>
      </x:c>
      <x:c r="B7" s="15" t="str">
        <x:v>Stance Toward Harm Caused</x:v>
      </x:c>
      <x:c r="C7" s="15" t="str">
        <x:v>Recognition of Affected Parties</x:v>
      </x:c>
      <x:c r="D7" s="15" t="str">
        <x:v>No harm acknowledgment</x:v>
      </x:c>
      <x:c r="E7" s="15" t="str">
        <x:v>Mild or implicit acknowledgment</x:v>
      </x:c>
      <x:c r="F7" s="15" t="str">
        <x:v>Explicit remorse, responsibility, apology, or restitution</x:v>
      </x:c>
    </x:row>
    <x:row r="8">
      <x:c r="A8" s="15" t="n">
        <x:v>7</x:v>
      </x:c>
      <x:c r="B8" s="15" t="str">
        <x:v>Framing Subject</x:v>
      </x:c>
      <x:c r="C8" s="15" t="str">
        <x:v>Failure-Centered Framing</x:v>
      </x:c>
      <x:c r="D8" s="15" t="str">
        <x:v>Discourse-centered framing</x:v>
      </x:c>
      <x:c r="E8" s="15" t="str">
        <x:v>Failure-centered framing</x:v>
      </x:c>
      <x:c r="F8" s="15" t="str">
        <x:v>N/A: binary item, max score is 1</x:v>
      </x:c>
    </x:row>
  </x:sheetData>
  <x:pageMargins left="0.7" right="0.7" top="0.75" bottom="0.75" header="0.3" footer="0.3"/>
  <x:tableParts count="1">
    <x:tablePart xmlns:r="http://schemas.openxmlformats.org/officeDocument/2006/relationships" r:id="Rfb269794243c4079"/>
  </x:tableParts>
</x:worksheet>
</file>